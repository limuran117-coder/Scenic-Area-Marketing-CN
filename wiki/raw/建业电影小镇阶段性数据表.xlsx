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 activeTab="1"/>
  </bookViews>
  <sheets>
    <sheet name="基础信息年度" sheetId="1" r:id="rId1"/>
    <sheet name="基础信息1-3月" sheetId="3" r:id="rId2"/>
    <sheet name="平日 大假数据" sheetId="10" r:id="rId3"/>
    <sheet name="模拟纯德化街收入" sheetId="9" r:id="rId4"/>
    <sheet name="2025年激励数据" sheetId="8" r:id="rId5"/>
    <sheet name="指标制定及拆分" sheetId="4" r:id="rId6"/>
    <sheet name="排期模型" sheetId="6" r:id="rId7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<sst xmlns="http://schemas.openxmlformats.org/spreadsheetml/2006/main" count="274" uniqueCount="109">
  <si>
    <t xml:space="preserve">年度  </t>
  </si>
  <si>
    <t>2023年</t>
  </si>
  <si>
    <t>2024年</t>
  </si>
  <si>
    <t>2025年</t>
  </si>
  <si>
    <t>景区总人数</t>
  </si>
  <si>
    <t>景区门票总收入</t>
  </si>
  <si>
    <t>演出场次</t>
  </si>
  <si>
    <t>总座位数</t>
  </si>
  <si>
    <t>套票人数</t>
  </si>
  <si>
    <t>占比</t>
  </si>
  <si>
    <t>加购人数</t>
  </si>
  <si>
    <t>观演人数小计</t>
  </si>
  <si>
    <t>套票收入</t>
  </si>
  <si>
    <t>加购收入</t>
  </si>
  <si>
    <t>收入小计</t>
  </si>
  <si>
    <t>占门票总收入</t>
  </si>
  <si>
    <t>上座率</t>
  </si>
  <si>
    <t>转化率</t>
  </si>
  <si>
    <t>1-3月</t>
  </si>
  <si>
    <t>2026年</t>
  </si>
  <si>
    <t>总人数</t>
  </si>
  <si>
    <t>门票总收入</t>
  </si>
  <si>
    <t>年份</t>
  </si>
  <si>
    <t>纯门票客单</t>
  </si>
  <si>
    <t>纯德化街客单</t>
  </si>
  <si>
    <t>德化街收入</t>
  </si>
  <si>
    <t>2023一季度</t>
  </si>
  <si>
    <t>2024一季度</t>
  </si>
  <si>
    <t>2025一季度</t>
  </si>
  <si>
    <t>2026一季度</t>
  </si>
  <si>
    <t>结论：
1、影响客门票单价的原因在于德化街的价格；
2、德化街价格低的原因，在于用了23、24年的模式，但维持了25年的票价，单选变多选；
下一步工作：
1、特殊节点，如妇女节等，德化街恢复158，加购在50/60之间测试，引导加购；
2、没有价格政策时间，剧场模式就是优待政策——150→120；</t>
  </si>
  <si>
    <t>月份</t>
  </si>
  <si>
    <t>纯门票客单（元）</t>
  </si>
  <si>
    <t>纯德化街客单（元）</t>
  </si>
  <si>
    <t>德化街收入（万元）</t>
  </si>
  <si>
    <t>1月</t>
  </si>
  <si>
    <t>2月</t>
  </si>
  <si>
    <t>3月</t>
  </si>
  <si>
    <t>平日</t>
  </si>
  <si>
    <t>大假</t>
  </si>
  <si>
    <t>观演人数</t>
  </si>
  <si>
    <t>演出收入</t>
  </si>
  <si>
    <t>26.4%%</t>
  </si>
  <si>
    <t>类目</t>
  </si>
  <si>
    <t>合计</t>
  </si>
  <si>
    <t>12月</t>
  </si>
  <si>
    <t>门票客单</t>
  </si>
  <si>
    <t>套票客单</t>
  </si>
  <si>
    <t>套票客单价</t>
  </si>
  <si>
    <t>不含门票客单价</t>
  </si>
  <si>
    <t>德化街客单价</t>
  </si>
  <si>
    <t>2025年《穿越德化街》激励数据汇总</t>
  </si>
  <si>
    <t>序号</t>
  </si>
  <si>
    <t>周期</t>
  </si>
  <si>
    <t>场次</t>
  </si>
  <si>
    <t>加购率</t>
  </si>
  <si>
    <t>7.1-7.15无激励</t>
  </si>
  <si>
    <t>7.16-7.31有激励</t>
  </si>
  <si>
    <t>7.1-7.31半月激励</t>
  </si>
  <si>
    <t>8.1-8.31整月激励</t>
  </si>
  <si>
    <r>
      <rPr>
        <sz val="12"/>
        <color theme="1"/>
        <rFont val="楷体_GB2312"/>
        <charset val="134"/>
      </rPr>
      <t>1、指标制定参考往年，但座位数不同、客流量不同、票制模式不同，无法准确预估
2、指标太多，会让考核和具体操作变得割裂
在此基础上，第一，在变动中找相对稳定的量，第二，收入追求历史最高
因此，</t>
    </r>
    <r>
      <rPr>
        <sz val="12"/>
        <color rgb="FFC00000"/>
        <rFont val="楷体_GB2312"/>
        <charset val="134"/>
      </rPr>
      <t>两大核心指标：全年年上座率、全年总收入</t>
    </r>
    <r>
      <rPr>
        <sz val="12"/>
        <color theme="1"/>
        <rFont val="楷体_GB2312"/>
        <charset val="134"/>
      </rPr>
      <t xml:space="preserve">
提醒指标：全年转化率、每季度转化率、大客流期间的上座率</t>
    </r>
  </si>
  <si>
    <t>任务拆分（按照上座率拆分）</t>
  </si>
  <si>
    <t>项目</t>
  </si>
  <si>
    <t>4月</t>
  </si>
  <si>
    <t>5月</t>
  </si>
  <si>
    <t>6月</t>
  </si>
  <si>
    <t>7月</t>
  </si>
  <si>
    <t>8月</t>
  </si>
  <si>
    <t>9月</t>
  </si>
  <si>
    <t>10月</t>
  </si>
  <si>
    <t>11月</t>
  </si>
  <si>
    <t>总计</t>
  </si>
  <si>
    <t>售票量</t>
  </si>
  <si>
    <t>客容量</t>
  </si>
  <si>
    <t>总客容量</t>
  </si>
  <si>
    <t>预计观演人数</t>
  </si>
  <si>
    <t>德化街</t>
  </si>
  <si>
    <t>全年总场次</t>
  </si>
  <si>
    <t>每场成本</t>
  </si>
  <si>
    <t>总成本</t>
  </si>
  <si>
    <t>预计客单</t>
  </si>
  <si>
    <t>预计营收</t>
  </si>
  <si>
    <t>演出成本</t>
  </si>
  <si>
    <t>利润</t>
  </si>
  <si>
    <t>《穿越德化街》排期模型</t>
  </si>
  <si>
    <t>预估客流</t>
  </si>
  <si>
    <t>开闭园时间</t>
  </si>
  <si>
    <t>0-2000</t>
  </si>
  <si>
    <t>10:00-20:30/21:00</t>
  </si>
  <si>
    <t>15:30-16:30</t>
  </si>
  <si>
    <t>2000-4000</t>
  </si>
  <si>
    <t>13:30-14:30</t>
  </si>
  <si>
    <t>17:10-18:10</t>
  </si>
  <si>
    <t>7月份夜场票</t>
  </si>
  <si>
    <t>4000-6000</t>
  </si>
  <si>
    <t>10:00-21:00</t>
  </si>
  <si>
    <t>14:00-15:00</t>
  </si>
  <si>
    <t>16:30-17:30</t>
  </si>
  <si>
    <t>18:10-19:10</t>
  </si>
  <si>
    <t>6000-10000</t>
  </si>
  <si>
    <t>12:20-13:20</t>
  </si>
  <si>
    <t>10000-15000</t>
  </si>
  <si>
    <r>
      <rPr>
        <sz val="11"/>
        <color rgb="FF000000"/>
        <rFont val="宋体"/>
        <charset val="134"/>
        <scheme val="minor"/>
      </rPr>
      <t>9:00-22:00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10:00-21:30</t>
    </r>
  </si>
  <si>
    <t>11:30-12:30</t>
  </si>
  <si>
    <t>18:50-19:50</t>
  </si>
  <si>
    <t>15000-30000</t>
  </si>
  <si>
    <t>9:00-22:00</t>
  </si>
  <si>
    <t>10:00-11:00</t>
  </si>
  <si>
    <t>11:40-12:40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</si>
</sst>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  <numFmt numFmtId="178" formatCode="0_ "/>
    <numFmt numFmtId="179" formatCode="0.0%"/>
    <numFmt numFmtId="180" formatCode="0;[Red]0"/>
    <numFmt numFmtId="181" formatCode="0.0_ "/>
  </numFmts>
  <fonts count="46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2"/>
      <color theme="1"/>
      <name val="宋体"/>
      <charset val="134"/>
    </font>
    <font>
      <sz val="12"/>
      <color theme="1"/>
      <name val="楷体_GB2312"/>
      <charset val="134"/>
    </font>
    <font>
      <sz val="12"/>
      <color rgb="FF000000"/>
      <name val="宋体"/>
      <charset val="134"/>
    </font>
    <font>
      <b/>
      <sz val="12"/>
      <color rgb="FF000000"/>
      <name val="楷体"/>
      <charset val="134"/>
    </font>
    <font>
      <sz val="11"/>
      <color rgb="FF000000"/>
      <name val="楷体"/>
      <charset val="134"/>
    </font>
    <font>
      <sz val="12"/>
      <color rgb="FF000000"/>
      <name val="楷体"/>
      <charset val="134"/>
    </font>
    <font>
      <b/>
      <sz val="11"/>
      <color rgb="FF000000"/>
      <name val="楷体"/>
      <charset val="134"/>
    </font>
    <font>
      <sz val="12"/>
      <color theme="1"/>
      <name val="楷体"/>
      <charset val="134"/>
    </font>
    <font>
      <sz val="11"/>
      <color rgb="FF292929"/>
      <name val="楷体"/>
      <charset val="134"/>
    </font>
    <font>
      <b/>
      <sz val="11"/>
      <color theme="1"/>
      <name val="宋体"/>
      <charset val="134"/>
      <scheme val="minor"/>
    </font>
    <font>
      <sz val="16"/>
      <color theme="1"/>
      <name val="楷体"/>
      <charset val="134"/>
    </font>
    <font>
      <b/>
      <sz val="16"/>
      <name val="楷体"/>
      <charset val="134"/>
    </font>
    <font>
      <b/>
      <sz val="16"/>
      <color theme="0"/>
      <name val="楷体"/>
      <charset val="134"/>
    </font>
    <font>
      <b/>
      <sz val="16"/>
      <color theme="1"/>
      <name val="楷体"/>
      <charset val="134"/>
    </font>
    <font>
      <b/>
      <sz val="16"/>
      <color rgb="FF000000"/>
      <name val="楷体"/>
      <charset val="134"/>
    </font>
    <font>
      <sz val="16"/>
      <color rgb="FF000000"/>
      <name val="楷体_GB2312"/>
      <charset val="134"/>
    </font>
    <font>
      <b/>
      <sz val="16"/>
      <color rgb="FFC00000"/>
      <name val="楷体_GB2312"/>
      <charset val="134"/>
    </font>
    <font>
      <b/>
      <sz val="14"/>
      <color rgb="FF000000"/>
      <name val="楷体"/>
      <charset val="134"/>
    </font>
    <font>
      <sz val="11"/>
      <color rgb="FF000000"/>
      <name val="宋体"/>
      <charset val="134"/>
    </font>
    <font>
      <sz val="11"/>
      <color theme="1"/>
      <name val="楷体"/>
      <charset val="134"/>
    </font>
    <font>
      <b/>
      <sz val="12"/>
      <color theme="1"/>
      <name val="楷体"/>
      <charset val="134"/>
    </font>
    <font>
      <sz val="14"/>
      <color theme="1"/>
      <name val="楷体_GB2312"/>
      <charset val="134"/>
    </font>
    <font>
      <sz val="18"/>
      <color rgb="FF000000"/>
      <name val="楷体_GB2312"/>
      <charset val="134"/>
    </font>
    <font>
      <b/>
      <sz val="18"/>
      <color rgb="FFC00000"/>
      <name val="楷体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C00000"/>
      <name val="楷体_GB2312"/>
      <charset val="134"/>
    </font>
  </fonts>
  <fills count="47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rgb="FFB5C6E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C9E4B4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17" borderId="9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33" fillId="0" borderId="11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18" borderId="12" applyNumberFormat="0" applyAlignment="0" applyProtection="0">
      <alignment vertical="center"/>
    </xf>
    <xf numFmtId="0" fontId="35" fillId="19" borderId="13" applyNumberFormat="0" applyAlignment="0" applyProtection="0">
      <alignment vertical="center"/>
    </xf>
    <xf numFmtId="0" fontId="36" fillId="19" borderId="12" applyNumberFormat="0" applyAlignment="0" applyProtection="0">
      <alignment vertical="center"/>
    </xf>
    <xf numFmtId="0" fontId="37" fillId="20" borderId="14" applyNumberFormat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39" fillId="0" borderId="16" applyNumberFormat="0" applyFill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4" fillId="29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4" fillId="33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</cellStyleXfs>
  <cellXfs count="12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20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0" xfId="0" applyFont="1" applyFill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78" fontId="6" fillId="6" borderId="1" xfId="0" applyNumberFormat="1" applyFont="1" applyFill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 wrapText="1"/>
    </xf>
    <xf numFmtId="178" fontId="6" fillId="0" borderId="1" xfId="0" applyNumberFormat="1" applyFont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9" fontId="6" fillId="6" borderId="1" xfId="0" applyNumberFormat="1" applyFont="1" applyFill="1" applyBorder="1" applyAlignment="1">
      <alignment horizontal="center" vertical="center"/>
    </xf>
    <xf numFmtId="179" fontId="6" fillId="0" borderId="1" xfId="0" applyNumberFormat="1" applyFont="1" applyBorder="1" applyAlignment="1">
      <alignment horizontal="center" vertical="center"/>
    </xf>
    <xf numFmtId="179" fontId="6" fillId="4" borderId="1" xfId="0" applyNumberFormat="1" applyFont="1" applyFill="1" applyBorder="1" applyAlignment="1">
      <alignment horizontal="center" vertical="center"/>
    </xf>
    <xf numFmtId="178" fontId="8" fillId="6" borderId="1" xfId="0" applyNumberFormat="1" applyFont="1" applyFill="1" applyBorder="1" applyAlignment="1">
      <alignment horizontal="center" vertical="center"/>
    </xf>
    <xf numFmtId="180" fontId="6" fillId="0" borderId="1" xfId="0" applyNumberFormat="1" applyFont="1" applyBorder="1" applyAlignment="1">
      <alignment horizontal="center" vertical="center"/>
    </xf>
    <xf numFmtId="180" fontId="6" fillId="8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178" fontId="9" fillId="8" borderId="1" xfId="0" applyNumberFormat="1" applyFont="1" applyFill="1" applyBorder="1" applyAlignment="1">
      <alignment horizontal="center" vertical="center"/>
    </xf>
    <xf numFmtId="178" fontId="9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0" fontId="10" fillId="9" borderId="1" xfId="0" applyNumberFormat="1" applyFont="1" applyFill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179" fontId="0" fillId="10" borderId="2" xfId="3" applyNumberForma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179" fontId="11" fillId="10" borderId="2" xfId="3" applyNumberFormat="1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179" fontId="11" fillId="10" borderId="0" xfId="3" applyNumberFormat="1" applyFont="1" applyFill="1" applyAlignment="1">
      <alignment horizontal="center" vertical="center"/>
    </xf>
    <xf numFmtId="181" fontId="0" fillId="11" borderId="0" xfId="0" applyNumberFormat="1" applyFill="1" applyAlignment="1">
      <alignment horizontal="center" vertical="center"/>
    </xf>
    <xf numFmtId="178" fontId="0" fillId="0" borderId="0" xfId="3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0" fillId="10" borderId="2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12" fillId="0" borderId="0" xfId="0" applyFont="1">
      <alignment vertical="center"/>
    </xf>
    <xf numFmtId="0" fontId="13" fillId="12" borderId="2" xfId="0" applyFont="1" applyFill="1" applyBorder="1" applyAlignment="1">
      <alignment horizontal="center" vertical="center"/>
    </xf>
    <xf numFmtId="0" fontId="14" fillId="13" borderId="2" xfId="0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3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3" xfId="0" applyFont="1" applyFill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179" fontId="15" fillId="0" borderId="2" xfId="3" applyNumberFormat="1" applyFont="1" applyBorder="1" applyAlignment="1">
      <alignment horizontal="center" vertical="center"/>
    </xf>
    <xf numFmtId="10" fontId="15" fillId="0" borderId="2" xfId="0" applyNumberFormat="1" applyFont="1" applyBorder="1" applyAlignment="1">
      <alignment horizontal="center" vertical="center"/>
    </xf>
    <xf numFmtId="10" fontId="15" fillId="0" borderId="4" xfId="0" applyNumberFormat="1" applyFont="1" applyBorder="1" applyAlignment="1">
      <alignment horizontal="center" vertical="center"/>
    </xf>
    <xf numFmtId="10" fontId="15" fillId="0" borderId="2" xfId="0" applyNumberFormat="1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179" fontId="12" fillId="0" borderId="0" xfId="3" applyNumberFormat="1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179" fontId="12" fillId="0" borderId="0" xfId="3" applyNumberFormat="1" applyFont="1" applyBorder="1" applyAlignment="1">
      <alignment horizontal="center" vertical="center"/>
    </xf>
    <xf numFmtId="179" fontId="12" fillId="0" borderId="2" xfId="3" applyNumberFormat="1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179" fontId="12" fillId="0" borderId="2" xfId="3" applyNumberFormat="1" applyFont="1" applyBorder="1" applyAlignment="1">
      <alignment horizontal="center" vertical="center"/>
    </xf>
    <xf numFmtId="10" fontId="12" fillId="0" borderId="2" xfId="0" applyNumberFormat="1" applyFont="1" applyBorder="1" applyAlignment="1">
      <alignment horizontal="center" vertical="center"/>
    </xf>
    <xf numFmtId="0" fontId="16" fillId="14" borderId="1" xfId="0" applyFont="1" applyFill="1" applyBorder="1" applyAlignment="1">
      <alignment horizontal="center" vertical="center"/>
    </xf>
    <xf numFmtId="0" fontId="16" fillId="12" borderId="1" xfId="0" applyFont="1" applyFill="1" applyBorder="1" applyAlignment="1">
      <alignment horizontal="center" vertical="center"/>
    </xf>
    <xf numFmtId="178" fontId="17" fillId="12" borderId="1" xfId="0" applyNumberFormat="1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178" fontId="17" fillId="0" borderId="1" xfId="0" applyNumberFormat="1" applyFont="1" applyFill="1" applyBorder="1" applyAlignment="1">
      <alignment horizontal="center" vertical="center"/>
    </xf>
    <xf numFmtId="179" fontId="17" fillId="0" borderId="1" xfId="0" applyNumberFormat="1" applyFont="1" applyFill="1" applyBorder="1" applyAlignment="1">
      <alignment horizontal="center" vertical="center"/>
    </xf>
    <xf numFmtId="178" fontId="18" fillId="12" borderId="1" xfId="0" applyNumberFormat="1" applyFont="1" applyFill="1" applyBorder="1" applyAlignment="1">
      <alignment horizontal="center" vertical="center"/>
    </xf>
    <xf numFmtId="179" fontId="18" fillId="12" borderId="1" xfId="0" applyNumberFormat="1" applyFont="1" applyFill="1" applyBorder="1" applyAlignment="1">
      <alignment horizontal="center" vertical="center"/>
    </xf>
    <xf numFmtId="179" fontId="17" fillId="12" borderId="1" xfId="0" applyNumberFormat="1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left" vertical="center" wrapText="1" indent="1"/>
    </xf>
    <xf numFmtId="0" fontId="21" fillId="0" borderId="2" xfId="0" applyFont="1" applyBorder="1" applyAlignment="1">
      <alignment horizontal="left" vertical="center" indent="1"/>
    </xf>
    <xf numFmtId="0" fontId="22" fillId="15" borderId="2" xfId="0" applyFont="1" applyFill="1" applyBorder="1" applyAlignment="1">
      <alignment horizontal="center" vertical="center"/>
    </xf>
    <xf numFmtId="0" fontId="22" fillId="15" borderId="2" xfId="0" applyFont="1" applyFill="1" applyBorder="1" applyAlignment="1">
      <alignment horizontal="center" vertical="center"/>
    </xf>
    <xf numFmtId="0" fontId="9" fillId="15" borderId="7" xfId="0" applyFont="1" applyFill="1" applyBorder="1" applyAlignment="1">
      <alignment horizontal="center" vertical="center"/>
    </xf>
    <xf numFmtId="0" fontId="9" fillId="15" borderId="2" xfId="0" applyFont="1" applyFill="1" applyBorder="1" applyAlignment="1">
      <alignment horizontal="center" vertical="center"/>
    </xf>
    <xf numFmtId="0" fontId="9" fillId="15" borderId="2" xfId="0" applyFont="1" applyFill="1" applyBorder="1" applyAlignment="1">
      <alignment horizontal="center" vertical="center"/>
    </xf>
    <xf numFmtId="0" fontId="9" fillId="15" borderId="8" xfId="0" applyFont="1" applyFill="1" applyBorder="1" applyAlignment="1">
      <alignment horizontal="center" vertical="center"/>
    </xf>
    <xf numFmtId="0" fontId="9" fillId="15" borderId="3" xfId="0" applyFont="1" applyFill="1" applyBorder="1" applyAlignment="1">
      <alignment horizontal="center" vertical="center"/>
    </xf>
    <xf numFmtId="0" fontId="23" fillId="0" borderId="0" xfId="0" applyFont="1">
      <alignment vertical="center"/>
    </xf>
    <xf numFmtId="0" fontId="24" fillId="0" borderId="1" xfId="0" applyFont="1" applyFill="1" applyBorder="1" applyAlignment="1">
      <alignment horizontal="center" vertical="center"/>
    </xf>
    <xf numFmtId="0" fontId="16" fillId="16" borderId="1" xfId="0" applyFont="1" applyFill="1" applyBorder="1" applyAlignment="1">
      <alignment horizontal="center" vertical="center"/>
    </xf>
    <xf numFmtId="0" fontId="24" fillId="16" borderId="1" xfId="0" applyFont="1" applyFill="1" applyBorder="1" applyAlignment="1">
      <alignment horizontal="center" vertical="center"/>
    </xf>
    <xf numFmtId="179" fontId="24" fillId="0" borderId="1" xfId="0" applyNumberFormat="1" applyFont="1" applyFill="1" applyBorder="1" applyAlignment="1">
      <alignment horizontal="center" vertical="center"/>
    </xf>
    <xf numFmtId="0" fontId="25" fillId="12" borderId="1" xfId="0" applyFont="1" applyFill="1" applyBorder="1" applyAlignment="1">
      <alignment horizontal="center" vertical="center"/>
    </xf>
    <xf numFmtId="0" fontId="24" fillId="12" borderId="1" xfId="0" applyFont="1" applyFill="1" applyBorder="1" applyAlignment="1">
      <alignment horizontal="center" vertical="center"/>
    </xf>
    <xf numFmtId="179" fontId="25" fillId="12" borderId="1" xfId="0" applyNumberFormat="1" applyFont="1" applyFill="1" applyBorder="1" applyAlignment="1">
      <alignment horizontal="center" vertical="center"/>
    </xf>
    <xf numFmtId="179" fontId="24" fillId="1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2.xml"/><Relationship Id="rId8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98425</xdr:colOff>
      <xdr:row>22</xdr:row>
      <xdr:rowOff>127000</xdr:rowOff>
    </xdr:from>
    <xdr:to>
      <xdr:col>3</xdr:col>
      <xdr:colOff>657225</xdr:colOff>
      <xdr:row>22</xdr:row>
      <xdr:rowOff>1908810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27075" y="5638800"/>
          <a:ext cx="3606800" cy="17818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19"/>
  <sheetViews>
    <sheetView showGridLines="0" zoomScale="90" zoomScaleNormal="90" topLeftCell="A4" workbookViewId="0">
      <selection activeCell="B17" sqref="B17"/>
    </sheetView>
  </sheetViews>
  <sheetFormatPr defaultColWidth="23.5454545454545" defaultRowHeight="17.5" outlineLevelCol="4"/>
  <cols>
    <col min="1" max="1" width="59.3" style="111" customWidth="1"/>
    <col min="2" max="2" width="28.5181818181818" style="111" customWidth="1"/>
    <col min="3" max="16383" width="23.5454545454545" style="111" customWidth="1"/>
    <col min="16384" max="16384" width="23.5454545454545" style="111"/>
  </cols>
  <sheetData>
    <row r="1" ht="70" customHeight="1"/>
    <row r="2" ht="27" customHeight="1" spans="2:5">
      <c r="B2" s="87" t="s">
        <v>0</v>
      </c>
      <c r="C2" s="87" t="s">
        <v>1</v>
      </c>
      <c r="D2" s="87" t="s">
        <v>2</v>
      </c>
      <c r="E2" s="87" t="s">
        <v>3</v>
      </c>
    </row>
    <row r="3" ht="27" customHeight="1" spans="2:5">
      <c r="B3" s="90" t="s">
        <v>4</v>
      </c>
      <c r="C3" s="112">
        <v>158</v>
      </c>
      <c r="D3" s="112">
        <v>162</v>
      </c>
      <c r="E3" s="112">
        <v>134</v>
      </c>
    </row>
    <row r="4" ht="27" customHeight="1" spans="2:5">
      <c r="B4" s="90" t="s">
        <v>5</v>
      </c>
      <c r="C4" s="112">
        <v>12018</v>
      </c>
      <c r="D4" s="112">
        <v>12590</v>
      </c>
      <c r="E4" s="112">
        <v>10303</v>
      </c>
    </row>
    <row r="5" ht="27" customHeight="1" spans="2:5">
      <c r="B5" s="113" t="s">
        <v>6</v>
      </c>
      <c r="C5" s="114">
        <v>750</v>
      </c>
      <c r="D5" s="114">
        <v>683</v>
      </c>
      <c r="E5" s="114">
        <v>831</v>
      </c>
    </row>
    <row r="6" ht="27" customHeight="1" spans="2:5">
      <c r="B6" s="113" t="s">
        <v>7</v>
      </c>
      <c r="C6" s="114">
        <v>45</v>
      </c>
      <c r="D6" s="114">
        <v>41.5</v>
      </c>
      <c r="E6" s="114">
        <v>92.6</v>
      </c>
    </row>
    <row r="7" ht="27" customHeight="1" spans="2:5">
      <c r="B7" s="90" t="s">
        <v>8</v>
      </c>
      <c r="C7" s="112">
        <v>20.6</v>
      </c>
      <c r="D7" s="112">
        <v>15.8</v>
      </c>
      <c r="E7" s="112">
        <v>36.5</v>
      </c>
    </row>
    <row r="8" ht="27" customHeight="1" spans="2:5">
      <c r="B8" s="90" t="s">
        <v>9</v>
      </c>
      <c r="C8" s="115">
        <v>0.725296282884676</v>
      </c>
      <c r="D8" s="115">
        <v>0.607245598557784</v>
      </c>
      <c r="E8" s="115">
        <v>0.776414478787866</v>
      </c>
    </row>
    <row r="9" ht="27" customHeight="1" spans="2:5">
      <c r="B9" s="90" t="s">
        <v>10</v>
      </c>
      <c r="C9" s="112">
        <v>7.8</v>
      </c>
      <c r="D9" s="112">
        <v>10.2</v>
      </c>
      <c r="E9" s="112">
        <v>10.5</v>
      </c>
    </row>
    <row r="10" ht="27" customHeight="1" spans="2:5">
      <c r="B10" s="90" t="s">
        <v>9</v>
      </c>
      <c r="C10" s="115">
        <v>0.274703717115324</v>
      </c>
      <c r="D10" s="115">
        <v>0.392754401442215</v>
      </c>
      <c r="E10" s="115">
        <v>0.223585521212134</v>
      </c>
    </row>
    <row r="11" ht="27" customHeight="1" spans="2:5">
      <c r="B11" s="88" t="s">
        <v>11</v>
      </c>
      <c r="C11" s="116">
        <v>28.4</v>
      </c>
      <c r="D11" s="116">
        <v>26.1</v>
      </c>
      <c r="E11" s="116">
        <v>47</v>
      </c>
    </row>
    <row r="12" ht="27" customHeight="1" spans="2:5">
      <c r="B12" s="90" t="s">
        <v>12</v>
      </c>
      <c r="C12" s="112">
        <v>2678</v>
      </c>
      <c r="D12" s="112">
        <v>2048</v>
      </c>
      <c r="E12" s="112">
        <v>3711</v>
      </c>
    </row>
    <row r="13" ht="27" customHeight="1" spans="2:5">
      <c r="B13" s="90" t="s">
        <v>9</v>
      </c>
      <c r="C13" s="115">
        <v>0.852985824276971</v>
      </c>
      <c r="D13" s="115">
        <v>0.765789459455853</v>
      </c>
      <c r="E13" s="115">
        <v>0.869921399062564</v>
      </c>
    </row>
    <row r="14" ht="27" customHeight="1" spans="2:5">
      <c r="B14" s="90" t="s">
        <v>13</v>
      </c>
      <c r="C14" s="112">
        <v>462</v>
      </c>
      <c r="D14" s="112">
        <v>627</v>
      </c>
      <c r="E14" s="112">
        <v>555</v>
      </c>
    </row>
    <row r="15" ht="27" customHeight="1" spans="2:5">
      <c r="B15" s="90" t="s">
        <v>9</v>
      </c>
      <c r="C15" s="115">
        <v>0.147014175723029</v>
      </c>
      <c r="D15" s="115">
        <v>0.234210540544147</v>
      </c>
      <c r="E15" s="115">
        <v>0.130078600937436</v>
      </c>
    </row>
    <row r="16" ht="27" customHeight="1" spans="2:5">
      <c r="B16" s="88" t="s">
        <v>14</v>
      </c>
      <c r="C16" s="117">
        <v>3139</v>
      </c>
      <c r="D16" s="117">
        <v>2675</v>
      </c>
      <c r="E16" s="117">
        <v>4266</v>
      </c>
    </row>
    <row r="17" ht="27" customHeight="1" spans="2:5">
      <c r="B17" s="88" t="s">
        <v>15</v>
      </c>
      <c r="C17" s="118">
        <v>0.261211353161254</v>
      </c>
      <c r="D17" s="118">
        <v>0.212464643134822</v>
      </c>
      <c r="E17" s="118">
        <v>0.414071414016595</v>
      </c>
    </row>
    <row r="18" ht="27" customHeight="1" spans="2:5">
      <c r="B18" s="88" t="s">
        <v>16</v>
      </c>
      <c r="C18" s="119">
        <v>0.632091111111111</v>
      </c>
      <c r="D18" s="119">
        <v>0.628822961890979</v>
      </c>
      <c r="E18" s="119">
        <v>0.508301193755739</v>
      </c>
    </row>
    <row r="19" ht="27" customHeight="1" spans="2:5">
      <c r="B19" s="97" t="s">
        <v>17</v>
      </c>
      <c r="C19" s="119">
        <v>0.179951463128553</v>
      </c>
      <c r="D19" s="119">
        <v>0.162416910147708</v>
      </c>
      <c r="E19" s="119">
        <v>0.351602619669642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J43"/>
  <sheetViews>
    <sheetView tabSelected="1" topLeftCell="A26" workbookViewId="0">
      <selection activeCell="M35" sqref="M35"/>
    </sheetView>
  </sheetViews>
  <sheetFormatPr defaultColWidth="9" defaultRowHeight="14"/>
  <cols>
    <col min="2" max="2" width="23.4545454545455" customWidth="1"/>
    <col min="3" max="3" width="20.1818181818182" customWidth="1"/>
    <col min="4" max="4" width="18.7272727272727" customWidth="1"/>
    <col min="5" max="5" width="16.3636363636364" customWidth="1"/>
    <col min="6" max="6" width="15.6" customWidth="1"/>
    <col min="8" max="8" width="14.4" customWidth="1"/>
    <col min="10" max="10" width="13.6272727272727" customWidth="1"/>
  </cols>
  <sheetData>
    <row r="4" ht="21" spans="2:6">
      <c r="B4" s="87" t="s">
        <v>18</v>
      </c>
      <c r="C4" s="87" t="s">
        <v>1</v>
      </c>
      <c r="D4" s="87" t="s">
        <v>2</v>
      </c>
      <c r="E4" s="87" t="s">
        <v>3</v>
      </c>
      <c r="F4" s="87" t="s">
        <v>19</v>
      </c>
    </row>
    <row r="5" ht="21" spans="2:6">
      <c r="B5" s="88" t="s">
        <v>20</v>
      </c>
      <c r="C5" s="89">
        <v>38.1663</v>
      </c>
      <c r="D5" s="89">
        <v>41.2361</v>
      </c>
      <c r="E5" s="89">
        <v>31.7495</v>
      </c>
      <c r="F5" s="89">
        <v>45.1001</v>
      </c>
    </row>
    <row r="6" ht="21" spans="2:6">
      <c r="B6" s="88" t="s">
        <v>21</v>
      </c>
      <c r="C6" s="89">
        <v>3166.4643</v>
      </c>
      <c r="D6" s="89">
        <v>3549.2359</v>
      </c>
      <c r="E6" s="89">
        <v>3121.2678</v>
      </c>
      <c r="F6" s="89">
        <v>3469.5557</v>
      </c>
    </row>
    <row r="7" ht="21" spans="2:6">
      <c r="B7" s="90" t="s">
        <v>6</v>
      </c>
      <c r="C7" s="91">
        <v>207</v>
      </c>
      <c r="D7" s="91">
        <v>216</v>
      </c>
      <c r="E7" s="91">
        <v>242</v>
      </c>
      <c r="F7" s="91">
        <v>122</v>
      </c>
    </row>
    <row r="8" ht="21" spans="2:6">
      <c r="B8" s="90" t="s">
        <v>7</v>
      </c>
      <c r="C8" s="92">
        <v>12.42</v>
      </c>
      <c r="D8" s="92">
        <v>12.96</v>
      </c>
      <c r="E8" s="92">
        <v>25.515</v>
      </c>
      <c r="F8" s="92">
        <v>14.022</v>
      </c>
    </row>
    <row r="9" ht="21" spans="2:6">
      <c r="B9" s="90" t="s">
        <v>8</v>
      </c>
      <c r="C9" s="92">
        <v>5.5101</v>
      </c>
      <c r="D9" s="92">
        <v>5.472</v>
      </c>
      <c r="E9" s="92">
        <v>11.2465</v>
      </c>
      <c r="F9" s="92">
        <v>4.0725</v>
      </c>
    </row>
    <row r="10" ht="21" spans="2:6">
      <c r="B10" s="90" t="s">
        <v>9</v>
      </c>
      <c r="C10" s="93">
        <v>0.758</v>
      </c>
      <c r="D10" s="93">
        <v>0.752</v>
      </c>
      <c r="E10" s="93">
        <v>0.81</v>
      </c>
      <c r="F10" s="93">
        <v>0.494938201086494</v>
      </c>
    </row>
    <row r="11" ht="21" spans="2:6">
      <c r="B11" s="90" t="s">
        <v>10</v>
      </c>
      <c r="C11" s="92">
        <v>1.7567</v>
      </c>
      <c r="D11" s="92">
        <v>1.8073</v>
      </c>
      <c r="E11" s="92">
        <v>2.6364</v>
      </c>
      <c r="F11" s="92">
        <v>4.1558</v>
      </c>
    </row>
    <row r="12" ht="21" spans="2:6">
      <c r="B12" s="90" t="s">
        <v>9</v>
      </c>
      <c r="C12" s="93">
        <v>0.242</v>
      </c>
      <c r="D12" s="93">
        <v>0.248</v>
      </c>
      <c r="E12" s="93">
        <v>0.19</v>
      </c>
      <c r="F12" s="93">
        <v>0.505061798913506</v>
      </c>
    </row>
    <row r="13" ht="21" spans="2:6">
      <c r="B13" s="88" t="s">
        <v>11</v>
      </c>
      <c r="C13" s="94">
        <v>7.2668</v>
      </c>
      <c r="D13" s="94">
        <v>7.2793</v>
      </c>
      <c r="E13" s="94">
        <v>13.8829</v>
      </c>
      <c r="F13" s="94">
        <v>8.2283</v>
      </c>
    </row>
    <row r="14" ht="21" spans="2:6">
      <c r="B14" s="90" t="s">
        <v>12</v>
      </c>
      <c r="C14" s="92">
        <v>733.8106</v>
      </c>
      <c r="D14" s="92">
        <v>660.8654</v>
      </c>
      <c r="E14" s="92">
        <v>1272.3339</v>
      </c>
      <c r="F14" s="92">
        <v>428.8212</v>
      </c>
    </row>
    <row r="15" ht="21" spans="2:6">
      <c r="B15" s="90" t="s">
        <v>9</v>
      </c>
      <c r="C15" s="93">
        <v>0.878</v>
      </c>
      <c r="D15" s="93">
        <v>0.849</v>
      </c>
      <c r="E15" s="93">
        <v>0.898</v>
      </c>
      <c r="F15" s="93">
        <v>0.678528299307328</v>
      </c>
    </row>
    <row r="16" ht="21" spans="2:6">
      <c r="B16" s="90" t="s">
        <v>13</v>
      </c>
      <c r="C16" s="92">
        <v>101.636</v>
      </c>
      <c r="D16" s="92">
        <v>117.303</v>
      </c>
      <c r="E16" s="92">
        <v>145.0085</v>
      </c>
      <c r="F16" s="92">
        <v>203.166</v>
      </c>
    </row>
    <row r="17" ht="21" spans="2:10">
      <c r="B17" s="90" t="s">
        <v>9</v>
      </c>
      <c r="C17" s="93">
        <v>0.132</v>
      </c>
      <c r="D17" s="93">
        <v>0.151</v>
      </c>
      <c r="E17" s="93">
        <v>0.102</v>
      </c>
      <c r="F17" s="93">
        <v>0.321471700692672</v>
      </c>
    </row>
    <row r="18" ht="21" spans="2:10">
      <c r="B18" s="88" t="s">
        <v>14</v>
      </c>
      <c r="C18" s="94">
        <v>835.4466</v>
      </c>
      <c r="D18" s="94">
        <v>778.1684</v>
      </c>
      <c r="E18" s="94">
        <v>1417.3424</v>
      </c>
      <c r="F18" s="94">
        <v>631.9872</v>
      </c>
    </row>
    <row r="19" ht="21" spans="2:10">
      <c r="B19" s="88" t="s">
        <v>15</v>
      </c>
      <c r="C19" s="95">
        <v>0.263</v>
      </c>
      <c r="D19" s="95">
        <v>0.2129</v>
      </c>
      <c r="E19" s="95">
        <v>0.454</v>
      </c>
      <c r="F19" s="95">
        <v>0.182152198911232</v>
      </c>
    </row>
    <row r="20" ht="21" spans="2:10">
      <c r="B20" s="88" t="s">
        <v>16</v>
      </c>
      <c r="C20" s="96">
        <v>0.585</v>
      </c>
      <c r="D20" s="96">
        <v>0.562</v>
      </c>
      <c r="E20" s="96">
        <v>0.544</v>
      </c>
      <c r="F20" s="96">
        <v>0.586813578662102</v>
      </c>
    </row>
    <row r="21" ht="21" spans="2:10">
      <c r="B21" s="97" t="s">
        <v>17</v>
      </c>
      <c r="C21" s="96">
        <v>0.19</v>
      </c>
      <c r="D21" s="96">
        <v>0.177</v>
      </c>
      <c r="E21" s="96">
        <v>0.437</v>
      </c>
      <c r="F21" s="96">
        <v>0.182445271739974</v>
      </c>
    </row>
    <row r="23" ht="161" customHeight="1" spans="2:10">
      <c r="B23" s="98"/>
      <c r="C23" s="99"/>
      <c r="D23" s="99"/>
      <c r="E23" s="99"/>
      <c r="F23" s="99"/>
    </row>
    <row r="24" spans="2:10">
      <c r="B24" s="100" t="s">
        <v>22</v>
      </c>
      <c r="C24" s="100" t="s">
        <v>23</v>
      </c>
      <c r="D24" s="100" t="s">
        <v>24</v>
      </c>
      <c r="E24" s="100" t="s">
        <v>25</v>
      </c>
      <c r="F24" s="100"/>
    </row>
    <row r="25" spans="2:10">
      <c r="B25" s="101" t="s">
        <v>26</v>
      </c>
      <c r="C25" s="101">
        <v>64.6</v>
      </c>
      <c r="D25" s="101">
        <v>65.2</v>
      </c>
      <c r="E25" s="101">
        <f>D25*7</f>
        <v>456.4</v>
      </c>
      <c r="F25" s="101"/>
    </row>
    <row r="26" spans="2:10">
      <c r="B26" s="101" t="s">
        <v>27</v>
      </c>
      <c r="C26" s="101">
        <v>68.5</v>
      </c>
      <c r="D26" s="101">
        <v>60.9</v>
      </c>
      <c r="E26" s="101">
        <f>D26*7</f>
        <v>426.3</v>
      </c>
      <c r="F26" s="101"/>
    </row>
    <row r="27" spans="2:10">
      <c r="B27" s="101" t="s">
        <v>28</v>
      </c>
      <c r="C27" s="101">
        <v>62.1</v>
      </c>
      <c r="D27" s="101">
        <v>39.5</v>
      </c>
      <c r="E27" s="101">
        <f>D27*14</f>
        <v>553</v>
      </c>
      <c r="F27" s="101"/>
    </row>
    <row r="28" spans="2:10">
      <c r="B28" s="101" t="s">
        <v>29</v>
      </c>
      <c r="C28" s="101">
        <v>69.2</v>
      </c>
      <c r="D28" s="101">
        <v>36.1</v>
      </c>
      <c r="E28" s="101">
        <f>D28*8</f>
        <v>288.8</v>
      </c>
      <c r="F28" s="101"/>
    </row>
    <row r="29" ht="132" customHeight="1" spans="2:10">
      <c r="B29" s="102" t="s">
        <v>30</v>
      </c>
      <c r="C29" s="103"/>
      <c r="D29" s="103"/>
      <c r="E29" s="103"/>
      <c r="F29" s="103"/>
    </row>
    <row r="31" ht="15" spans="2:10">
      <c r="B31" s="104" t="s">
        <v>22</v>
      </c>
      <c r="C31" s="104" t="s">
        <v>31</v>
      </c>
      <c r="D31" s="105"/>
      <c r="E31" s="104" t="s">
        <v>32</v>
      </c>
      <c r="F31" s="105"/>
      <c r="G31" s="104" t="s">
        <v>33</v>
      </c>
      <c r="H31" s="105"/>
      <c r="I31" s="104" t="s">
        <v>34</v>
      </c>
      <c r="J31" s="105"/>
    </row>
    <row r="32" ht="15" spans="2:10">
      <c r="B32" s="106" t="s">
        <v>1</v>
      </c>
      <c r="C32" s="107" t="s">
        <v>35</v>
      </c>
      <c r="D32" s="108"/>
      <c r="E32" s="108">
        <v>75.8</v>
      </c>
      <c r="F32" s="108"/>
      <c r="G32" s="108">
        <v>51.9</v>
      </c>
      <c r="H32" s="108"/>
      <c r="I32" s="108">
        <v>186.4</v>
      </c>
      <c r="J32" s="108"/>
    </row>
    <row r="33" ht="15" spans="2:10">
      <c r="B33" s="109"/>
      <c r="C33" s="107" t="s">
        <v>36</v>
      </c>
      <c r="D33" s="108"/>
      <c r="E33" s="108">
        <v>76.8</v>
      </c>
      <c r="F33" s="108"/>
      <c r="G33" s="108">
        <v>71.9</v>
      </c>
      <c r="H33" s="108"/>
      <c r="I33" s="108">
        <v>131.9</v>
      </c>
      <c r="J33" s="108"/>
    </row>
    <row r="34" ht="15" spans="2:10">
      <c r="B34" s="110"/>
      <c r="C34" s="107" t="s">
        <v>37</v>
      </c>
      <c r="D34" s="108"/>
      <c r="E34" s="108">
        <v>57.2</v>
      </c>
      <c r="F34" s="108"/>
      <c r="G34" s="108">
        <v>72.2</v>
      </c>
      <c r="H34" s="108"/>
      <c r="I34" s="108">
        <v>132.9</v>
      </c>
      <c r="J34" s="108"/>
    </row>
    <row r="35" ht="15" spans="2:10">
      <c r="B35" s="107" t="s">
        <v>2</v>
      </c>
      <c r="C35" s="107" t="s">
        <v>35</v>
      </c>
      <c r="D35" s="108"/>
      <c r="E35" s="108">
        <v>88.4</v>
      </c>
      <c r="F35" s="108"/>
      <c r="G35" s="108">
        <v>84.8</v>
      </c>
      <c r="H35" s="108"/>
      <c r="I35" s="108">
        <v>87.8</v>
      </c>
      <c r="J35" s="108"/>
    </row>
    <row r="36" ht="15" spans="2:10">
      <c r="B36" s="108"/>
      <c r="C36" s="107" t="s">
        <v>36</v>
      </c>
      <c r="D36" s="108"/>
      <c r="E36" s="108">
        <v>79.8</v>
      </c>
      <c r="F36" s="108"/>
      <c r="G36" s="108">
        <v>51.1</v>
      </c>
      <c r="H36" s="108"/>
      <c r="I36" s="108">
        <v>215.2</v>
      </c>
      <c r="J36" s="108"/>
    </row>
    <row r="37" ht="15" spans="2:10">
      <c r="B37" s="108"/>
      <c r="C37" s="107" t="s">
        <v>37</v>
      </c>
      <c r="D37" s="108"/>
      <c r="E37" s="108">
        <v>65.4</v>
      </c>
      <c r="F37" s="108"/>
      <c r="G37" s="108">
        <v>60.7</v>
      </c>
      <c r="H37" s="108"/>
      <c r="I37" s="108">
        <v>123.3</v>
      </c>
      <c r="J37" s="108"/>
    </row>
    <row r="38" ht="15" spans="2:10">
      <c r="B38" s="107" t="s">
        <v>3</v>
      </c>
      <c r="C38" s="107" t="s">
        <v>35</v>
      </c>
      <c r="D38" s="108"/>
      <c r="E38" s="108">
        <v>88.1</v>
      </c>
      <c r="F38" s="108"/>
      <c r="G38" s="108">
        <v>24.5</v>
      </c>
      <c r="H38" s="108"/>
      <c r="I38" s="108">
        <v>109.5</v>
      </c>
      <c r="J38" s="108"/>
    </row>
    <row r="39" ht="15" spans="2:10">
      <c r="B39" s="108"/>
      <c r="C39" s="107" t="s">
        <v>36</v>
      </c>
      <c r="D39" s="108"/>
      <c r="E39" s="108">
        <v>90.4</v>
      </c>
      <c r="F39" s="108"/>
      <c r="G39" s="108">
        <v>47.1</v>
      </c>
      <c r="H39" s="108"/>
      <c r="I39" s="108">
        <v>256.9</v>
      </c>
      <c r="J39" s="108"/>
    </row>
    <row r="40" ht="15" spans="2:10">
      <c r="B40" s="108"/>
      <c r="C40" s="107" t="s">
        <v>37</v>
      </c>
      <c r="D40" s="108"/>
      <c r="E40" s="108">
        <v>77.6</v>
      </c>
      <c r="F40" s="108"/>
      <c r="G40" s="108">
        <v>13.9</v>
      </c>
      <c r="H40" s="108"/>
      <c r="I40" s="108">
        <v>54.9</v>
      </c>
      <c r="J40" s="108"/>
    </row>
    <row r="41" ht="15" spans="2:10">
      <c r="B41" s="107" t="s">
        <v>19</v>
      </c>
      <c r="C41" s="107" t="s">
        <v>35</v>
      </c>
      <c r="D41" s="108"/>
      <c r="E41" s="108">
        <v>59.2</v>
      </c>
      <c r="F41" s="108"/>
      <c r="G41" s="108">
        <v>45.4</v>
      </c>
      <c r="H41" s="108"/>
      <c r="I41" s="108">
        <v>46.6</v>
      </c>
      <c r="J41" s="108"/>
    </row>
    <row r="42" ht="15" spans="2:10">
      <c r="B42" s="108"/>
      <c r="C42" s="107" t="s">
        <v>36</v>
      </c>
      <c r="D42" s="108"/>
      <c r="E42" s="108">
        <v>72.2</v>
      </c>
      <c r="F42" s="108"/>
      <c r="G42" s="108">
        <v>37.3</v>
      </c>
      <c r="H42" s="108"/>
      <c r="I42" s="108">
        <v>192.9</v>
      </c>
      <c r="J42" s="108"/>
    </row>
    <row r="43" ht="15" spans="2:10">
      <c r="B43" s="108"/>
      <c r="C43" s="107" t="s">
        <v>37</v>
      </c>
      <c r="D43" s="108"/>
      <c r="E43" s="108">
        <v>64.8</v>
      </c>
      <c r="F43" s="108"/>
      <c r="G43" s="108">
        <v>26.8</v>
      </c>
      <c r="H43" s="108"/>
      <c r="I43" s="108">
        <v>54.4</v>
      </c>
      <c r="J43" s="108"/>
    </row>
  </sheetData>
  <sheetProtection formatCells="0" formatColumns="0" formatRows="0" insertRows="0" insertColumns="0" insertHyperlinks="0" deleteColumns="0" deleteRows="0" sort="0" autoFilter="0" pivotTables="0"/>
  <mergeCells count="63">
    <mergeCell ref="B23:F23"/>
    <mergeCell ref="E24:F24"/>
    <mergeCell ref="E25:F25"/>
    <mergeCell ref="E26:F26"/>
    <mergeCell ref="E27:F27"/>
    <mergeCell ref="E28:F28"/>
    <mergeCell ref="B29:F29"/>
    <mergeCell ref="C31:D31"/>
    <mergeCell ref="E31:F31"/>
    <mergeCell ref="G31:H31"/>
    <mergeCell ref="I31:J31"/>
    <mergeCell ref="C32:D32"/>
    <mergeCell ref="E32:F32"/>
    <mergeCell ref="G32:H32"/>
    <mergeCell ref="I32:J32"/>
    <mergeCell ref="C33:D33"/>
    <mergeCell ref="E33:F33"/>
    <mergeCell ref="G33:H33"/>
    <mergeCell ref="I33:J33"/>
    <mergeCell ref="C34:D34"/>
    <mergeCell ref="E34:F34"/>
    <mergeCell ref="G34:H34"/>
    <mergeCell ref="I34:J34"/>
    <mergeCell ref="C35:D35"/>
    <mergeCell ref="E35:F35"/>
    <mergeCell ref="G35:H35"/>
    <mergeCell ref="I35:J35"/>
    <mergeCell ref="C36:D36"/>
    <mergeCell ref="E36:F36"/>
    <mergeCell ref="G36:H36"/>
    <mergeCell ref="I36:J36"/>
    <mergeCell ref="C37:D37"/>
    <mergeCell ref="E37:F37"/>
    <mergeCell ref="G37:H37"/>
    <mergeCell ref="I37:J37"/>
    <mergeCell ref="C38:D38"/>
    <mergeCell ref="E38:F38"/>
    <mergeCell ref="G38:H38"/>
    <mergeCell ref="I38:J38"/>
    <mergeCell ref="C39:D39"/>
    <mergeCell ref="E39:F39"/>
    <mergeCell ref="G39:H39"/>
    <mergeCell ref="I39:J39"/>
    <mergeCell ref="C40:D40"/>
    <mergeCell ref="E40:F40"/>
    <mergeCell ref="G40:H40"/>
    <mergeCell ref="I40:J40"/>
    <mergeCell ref="C41:D41"/>
    <mergeCell ref="E41:F41"/>
    <mergeCell ref="G41:H41"/>
    <mergeCell ref="I41:J41"/>
    <mergeCell ref="C42:D42"/>
    <mergeCell ref="E42:F42"/>
    <mergeCell ref="G42:H42"/>
    <mergeCell ref="I42:J42"/>
    <mergeCell ref="C43:D43"/>
    <mergeCell ref="E43:F43"/>
    <mergeCell ref="G43:H43"/>
    <mergeCell ref="I43:J43"/>
    <mergeCell ref="B32:B34"/>
    <mergeCell ref="B35:B37"/>
    <mergeCell ref="B38:B40"/>
    <mergeCell ref="B41:B43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U14"/>
  <sheetViews>
    <sheetView workbookViewId="0">
      <selection activeCell="E18" sqref="E18"/>
    </sheetView>
  </sheetViews>
  <sheetFormatPr defaultColWidth="8.72727272727273" defaultRowHeight="21"/>
  <cols>
    <col min="1" max="1" width="8.72727272727273" style="55"/>
    <col min="2" max="2" width="15.6363636363636" style="55" customWidth="1"/>
    <col min="3" max="3" width="13.6363636363636" style="55" customWidth="1"/>
    <col min="4" max="4" width="10.6363636363636" style="55" customWidth="1"/>
    <col min="5" max="5" width="13.6363636363636" style="55" customWidth="1"/>
    <col min="6" max="6" width="10.6363636363636" style="55" customWidth="1"/>
    <col min="7" max="7" width="13.7272727272727" style="55" customWidth="1"/>
    <col min="8" max="8" width="10.7272727272727" style="55" customWidth="1"/>
    <col min="9" max="9" width="13.6363636363636" style="55" customWidth="1"/>
    <col min="10" max="10" width="10.7272727272727" style="55" customWidth="1"/>
    <col min="11" max="12" width="8.72727272727273" style="55"/>
    <col min="13" max="13" width="13.6363636363636" style="55" customWidth="1"/>
    <col min="14" max="14" width="13.7272727272727" style="55" customWidth="1"/>
    <col min="15" max="15" width="10.7272727272727" style="55" customWidth="1"/>
    <col min="16" max="16" width="13.7272727272727" style="55" customWidth="1"/>
    <col min="17" max="17" width="10.6363636363636" style="55" customWidth="1"/>
    <col min="18" max="18" width="13.6363636363636" style="55" customWidth="1"/>
    <col min="19" max="19" width="10.7272727272727" style="55" customWidth="1"/>
    <col min="20" max="20" width="13.6363636363636" style="55" customWidth="1"/>
    <col min="21" max="21" width="10.6363636363636" style="55" customWidth="1"/>
    <col min="22" max="16384" width="8.72727272727273" style="55"/>
  </cols>
  <sheetData>
    <row r="3" spans="2:21">
      <c r="B3" s="56" t="s">
        <v>38</v>
      </c>
      <c r="C3" s="56"/>
      <c r="D3" s="56"/>
      <c r="E3" s="56"/>
      <c r="F3" s="56"/>
      <c r="G3" s="56"/>
      <c r="H3" s="56"/>
      <c r="I3" s="56"/>
      <c r="J3" s="56"/>
      <c r="M3" s="57" t="s">
        <v>39</v>
      </c>
      <c r="N3" s="57"/>
      <c r="O3" s="57"/>
      <c r="P3" s="57"/>
      <c r="Q3" s="57"/>
      <c r="R3" s="57"/>
      <c r="S3" s="57"/>
      <c r="T3" s="57"/>
      <c r="U3" s="57"/>
    </row>
    <row r="4" ht="20" customHeight="1" spans="2:21">
      <c r="B4" s="58"/>
      <c r="C4" s="58" t="s">
        <v>1</v>
      </c>
      <c r="D4" s="58"/>
      <c r="E4" s="58" t="s">
        <v>2</v>
      </c>
      <c r="F4" s="58"/>
      <c r="G4" s="58" t="s">
        <v>3</v>
      </c>
      <c r="H4" s="59"/>
      <c r="I4" s="60" t="s">
        <v>19</v>
      </c>
      <c r="J4" s="61"/>
      <c r="M4" s="62"/>
      <c r="N4" s="58" t="s">
        <v>1</v>
      </c>
      <c r="O4" s="63"/>
      <c r="P4" s="58" t="s">
        <v>2</v>
      </c>
      <c r="Q4" s="63"/>
      <c r="R4" s="58" t="s">
        <v>3</v>
      </c>
      <c r="S4" s="64"/>
      <c r="T4" s="65" t="s">
        <v>19</v>
      </c>
      <c r="U4" s="66"/>
    </row>
    <row r="5" ht="22" customHeight="1" spans="2:21">
      <c r="B5" s="67" t="s">
        <v>6</v>
      </c>
      <c r="C5" s="68">
        <v>637</v>
      </c>
      <c r="D5" s="68"/>
      <c r="E5" s="68">
        <v>548</v>
      </c>
      <c r="F5" s="68"/>
      <c r="G5" s="68">
        <v>708</v>
      </c>
      <c r="H5" s="68"/>
      <c r="I5" s="69">
        <v>78</v>
      </c>
      <c r="J5" s="69"/>
      <c r="M5" s="67" t="s">
        <v>6</v>
      </c>
      <c r="N5" s="68">
        <v>113</v>
      </c>
      <c r="O5" s="68"/>
      <c r="P5" s="68">
        <v>135</v>
      </c>
      <c r="Q5" s="68"/>
      <c r="R5" s="68">
        <v>123</v>
      </c>
      <c r="S5" s="68"/>
      <c r="T5" s="70">
        <v>54</v>
      </c>
      <c r="U5" s="71"/>
    </row>
    <row r="6" spans="2:21">
      <c r="B6" s="67" t="s">
        <v>40</v>
      </c>
      <c r="C6" s="68">
        <v>216399</v>
      </c>
      <c r="D6" s="68"/>
      <c r="E6" s="68">
        <v>168006</v>
      </c>
      <c r="F6" s="68"/>
      <c r="G6" s="68">
        <v>376827</v>
      </c>
      <c r="H6" s="68"/>
      <c r="I6" s="69">
        <v>49085</v>
      </c>
      <c r="J6" s="69"/>
      <c r="M6" s="67" t="s">
        <v>40</v>
      </c>
      <c r="N6" s="68">
        <v>68042</v>
      </c>
      <c r="O6" s="68"/>
      <c r="P6" s="72">
        <v>92704</v>
      </c>
      <c r="Q6" s="73"/>
      <c r="R6" s="72">
        <v>93682</v>
      </c>
      <c r="S6" s="73"/>
      <c r="T6" s="70">
        <v>38530</v>
      </c>
      <c r="U6" s="71"/>
    </row>
    <row r="7" ht="20" customHeight="1" spans="2:21">
      <c r="B7" s="67" t="s">
        <v>41</v>
      </c>
      <c r="C7" s="68">
        <v>22858334</v>
      </c>
      <c r="D7" s="68"/>
      <c r="E7" s="68">
        <v>15778578.73</v>
      </c>
      <c r="F7" s="68"/>
      <c r="G7" s="68">
        <v>32321693.97</v>
      </c>
      <c r="H7" s="68"/>
      <c r="I7" s="69">
        <v>3258644</v>
      </c>
      <c r="J7" s="69"/>
      <c r="M7" s="67" t="s">
        <v>41</v>
      </c>
      <c r="N7" s="68">
        <v>8534421</v>
      </c>
      <c r="O7" s="68"/>
      <c r="P7" s="72">
        <v>10971189.6</v>
      </c>
      <c r="Q7" s="73"/>
      <c r="R7" s="72">
        <v>10339711.98</v>
      </c>
      <c r="S7" s="73"/>
      <c r="T7" s="70">
        <v>3433770</v>
      </c>
      <c r="U7" s="71"/>
    </row>
    <row r="8" ht="20" customHeight="1" spans="2:21">
      <c r="B8" s="74" t="s">
        <v>16</v>
      </c>
      <c r="C8" s="75">
        <v>0.566193092621664</v>
      </c>
      <c r="D8" s="75"/>
      <c r="E8" s="75">
        <v>0.503615107913669</v>
      </c>
      <c r="F8" s="75"/>
      <c r="G8" s="75">
        <v>0.466878531073446</v>
      </c>
      <c r="H8" s="75"/>
      <c r="I8" s="76">
        <v>0.552</v>
      </c>
      <c r="J8" s="61"/>
      <c r="M8" s="74" t="s">
        <v>16</v>
      </c>
      <c r="N8" s="75">
        <v>1.00356932153392</v>
      </c>
      <c r="O8" s="75"/>
      <c r="P8" s="75">
        <v>1.14449382716049</v>
      </c>
      <c r="Q8" s="75"/>
      <c r="R8" s="75">
        <v>0.65681373614432</v>
      </c>
      <c r="S8" s="75"/>
      <c r="T8" s="77">
        <v>0.6259</v>
      </c>
      <c r="U8" s="66"/>
    </row>
    <row r="9" ht="20" customHeight="1" spans="2:21">
      <c r="B9" s="74" t="s">
        <v>17</v>
      </c>
      <c r="C9" s="75">
        <v>0.189629231077956</v>
      </c>
      <c r="D9" s="75"/>
      <c r="E9" s="75">
        <v>0.171859432188531</v>
      </c>
      <c r="F9" s="75"/>
      <c r="G9" s="75">
        <v>0.414560276353715</v>
      </c>
      <c r="H9" s="75"/>
      <c r="I9" s="78" t="s">
        <v>42</v>
      </c>
      <c r="J9" s="61"/>
      <c r="M9" s="74" t="s">
        <v>17</v>
      </c>
      <c r="N9" s="75">
        <v>0.15587908500475</v>
      </c>
      <c r="O9" s="75"/>
      <c r="P9" s="75">
        <v>0.14437918849003</v>
      </c>
      <c r="Q9" s="75"/>
      <c r="R9" s="75">
        <v>0.2182691680413</v>
      </c>
      <c r="S9" s="75"/>
      <c r="T9" s="77">
        <v>0.1274</v>
      </c>
      <c r="U9" s="66"/>
    </row>
    <row r="10" spans="2:21">
      <c r="B10" s="79"/>
      <c r="C10" s="79"/>
      <c r="D10" s="80"/>
      <c r="E10" s="81"/>
      <c r="F10" s="82"/>
      <c r="G10" s="79"/>
      <c r="H10" s="80"/>
      <c r="M10" s="79"/>
      <c r="N10" s="79"/>
      <c r="O10" s="82"/>
      <c r="P10" s="79"/>
      <c r="Q10" s="82"/>
      <c r="R10" s="79"/>
      <c r="S10" s="82"/>
    </row>
    <row r="11" ht="20" customHeight="1" spans="2:21">
      <c r="B11" s="67" t="s">
        <v>8</v>
      </c>
      <c r="C11" s="68">
        <v>147425</v>
      </c>
      <c r="D11" s="83">
        <f>C11/216399</f>
        <v>0.681264700853516</v>
      </c>
      <c r="E11" s="84">
        <v>90470</v>
      </c>
      <c r="F11" s="85">
        <f>E11/168006</f>
        <v>0.53849267288073</v>
      </c>
      <c r="G11" s="68">
        <v>312848</v>
      </c>
      <c r="H11" s="83">
        <f>G11/376827</f>
        <v>0.830216518455419</v>
      </c>
      <c r="I11" s="69">
        <v>26851</v>
      </c>
      <c r="J11" s="86">
        <v>0.547</v>
      </c>
      <c r="M11" s="67" t="s">
        <v>8</v>
      </c>
      <c r="N11" s="68">
        <v>58879</v>
      </c>
      <c r="O11" s="85">
        <f t="shared" ref="O11:S11" si="0">N11/N6</f>
        <v>0.865333176567414</v>
      </c>
      <c r="P11" s="68">
        <v>67845</v>
      </c>
      <c r="Q11" s="85">
        <f t="shared" si="0"/>
        <v>0.731845443562306</v>
      </c>
      <c r="R11" s="68">
        <v>52462</v>
      </c>
      <c r="S11" s="85">
        <f t="shared" si="0"/>
        <v>0.560000853952734</v>
      </c>
      <c r="T11" s="69">
        <v>14621</v>
      </c>
      <c r="U11" s="86">
        <v>0.3795</v>
      </c>
    </row>
    <row r="12" ht="20" customHeight="1" spans="2:21">
      <c r="B12" s="67" t="s">
        <v>10</v>
      </c>
      <c r="C12" s="68">
        <v>68974</v>
      </c>
      <c r="D12" s="83">
        <f>C12/216399</f>
        <v>0.318735299146484</v>
      </c>
      <c r="E12" s="84">
        <v>77536</v>
      </c>
      <c r="F12" s="85">
        <f>E12/168006</f>
        <v>0.46150732711927</v>
      </c>
      <c r="G12" s="68">
        <v>63979</v>
      </c>
      <c r="H12" s="83">
        <f>G12/376827</f>
        <v>0.169783481544581</v>
      </c>
      <c r="I12" s="69">
        <v>22234</v>
      </c>
      <c r="J12" s="86">
        <v>0.453</v>
      </c>
      <c r="M12" s="67" t="s">
        <v>10</v>
      </c>
      <c r="N12" s="68">
        <v>9163</v>
      </c>
      <c r="O12" s="85">
        <f t="shared" ref="O12:S12" si="1">N12/N6</f>
        <v>0.134666823432586</v>
      </c>
      <c r="P12" s="68">
        <v>24859</v>
      </c>
      <c r="Q12" s="85">
        <f t="shared" si="1"/>
        <v>0.268154556437694</v>
      </c>
      <c r="R12" s="68">
        <v>41220</v>
      </c>
      <c r="S12" s="85">
        <f t="shared" si="1"/>
        <v>0.439999146047266</v>
      </c>
      <c r="T12" s="69">
        <v>23909</v>
      </c>
      <c r="U12" s="86">
        <v>0.6205</v>
      </c>
    </row>
    <row r="13" ht="20" customHeight="1" spans="2:21">
      <c r="B13" s="67" t="s">
        <v>12</v>
      </c>
      <c r="C13" s="68">
        <v>18897444</v>
      </c>
      <c r="D13" s="85">
        <f>C13/22858334</f>
        <v>0.826720092549177</v>
      </c>
      <c r="E13" s="68">
        <v>11379921.03</v>
      </c>
      <c r="F13" s="85">
        <f>E13/15778578.73</f>
        <v>0.721225987760432</v>
      </c>
      <c r="G13" s="68">
        <v>29305532.97</v>
      </c>
      <c r="H13" s="83">
        <f>G13/32321693.97</f>
        <v>0.906683077848596</v>
      </c>
      <c r="I13" s="69">
        <v>2369284</v>
      </c>
      <c r="J13" s="86">
        <v>0.722</v>
      </c>
      <c r="M13" s="67" t="s">
        <v>12</v>
      </c>
      <c r="N13" s="68">
        <v>7880131</v>
      </c>
      <c r="O13" s="85">
        <f t="shared" ref="O13:S13" si="2">N13/N7</f>
        <v>0.923335162397074</v>
      </c>
      <c r="P13" s="68">
        <v>9104769.6</v>
      </c>
      <c r="Q13" s="85">
        <f t="shared" si="2"/>
        <v>0.829879888321318</v>
      </c>
      <c r="R13" s="68">
        <v>7806536.98</v>
      </c>
      <c r="S13" s="83">
        <f t="shared" si="2"/>
        <v>0.755005264663088</v>
      </c>
      <c r="T13" s="69">
        <v>2016370</v>
      </c>
      <c r="U13" s="86">
        <v>0.5872</v>
      </c>
    </row>
    <row r="14" ht="20" customHeight="1" spans="2:21">
      <c r="B14" s="67" t="s">
        <v>13</v>
      </c>
      <c r="C14" s="68">
        <v>3960890</v>
      </c>
      <c r="D14" s="85">
        <f>C14/22858334</f>
        <v>0.173279907450823</v>
      </c>
      <c r="E14" s="68">
        <v>4398657.7</v>
      </c>
      <c r="F14" s="85">
        <f>E14/15778578.73</f>
        <v>0.278774012239568</v>
      </c>
      <c r="G14" s="68">
        <v>3016161</v>
      </c>
      <c r="H14" s="83">
        <f>G14/32321693.97</f>
        <v>0.0933169221514042</v>
      </c>
      <c r="I14" s="69">
        <v>889360</v>
      </c>
      <c r="J14" s="86">
        <v>0.278</v>
      </c>
      <c r="M14" s="67" t="s">
        <v>13</v>
      </c>
      <c r="N14" s="68">
        <v>654290</v>
      </c>
      <c r="O14" s="85">
        <f t="shared" ref="O14:S14" si="3">N14/N7</f>
        <v>0.0766648376029258</v>
      </c>
      <c r="P14" s="68">
        <v>1866420</v>
      </c>
      <c r="Q14" s="85">
        <f t="shared" si="3"/>
        <v>0.170120111678683</v>
      </c>
      <c r="R14" s="68">
        <v>2533175</v>
      </c>
      <c r="S14" s="83">
        <f t="shared" si="3"/>
        <v>0.244994735336912</v>
      </c>
      <c r="T14" s="69">
        <v>1417400</v>
      </c>
      <c r="U14" s="86">
        <v>0.4128</v>
      </c>
    </row>
  </sheetData>
  <mergeCells count="50">
    <mergeCell ref="B3:J3"/>
    <mergeCell ref="M3:U3"/>
    <mergeCell ref="C4:D4"/>
    <mergeCell ref="E4:F4"/>
    <mergeCell ref="G4:H4"/>
    <mergeCell ref="I4:J4"/>
    <mergeCell ref="N4:O4"/>
    <mergeCell ref="P4:Q4"/>
    <mergeCell ref="R4:S4"/>
    <mergeCell ref="T4:U4"/>
    <mergeCell ref="C5:D5"/>
    <mergeCell ref="E5:F5"/>
    <mergeCell ref="G5:H5"/>
    <mergeCell ref="I5:J5"/>
    <mergeCell ref="N5:O5"/>
    <mergeCell ref="P5:Q5"/>
    <mergeCell ref="R5:S5"/>
    <mergeCell ref="T5:U5"/>
    <mergeCell ref="C6:D6"/>
    <mergeCell ref="E6:F6"/>
    <mergeCell ref="G6:H6"/>
    <mergeCell ref="I6:J6"/>
    <mergeCell ref="N6:O6"/>
    <mergeCell ref="P6:Q6"/>
    <mergeCell ref="R6:S6"/>
    <mergeCell ref="T6:U6"/>
    <mergeCell ref="C7:D7"/>
    <mergeCell ref="E7:F7"/>
    <mergeCell ref="G7:H7"/>
    <mergeCell ref="I7:J7"/>
    <mergeCell ref="N7:O7"/>
    <mergeCell ref="P7:Q7"/>
    <mergeCell ref="R7:S7"/>
    <mergeCell ref="T7:U7"/>
    <mergeCell ref="C8:D8"/>
    <mergeCell ref="E8:F8"/>
    <mergeCell ref="G8:H8"/>
    <mergeCell ref="I8:J8"/>
    <mergeCell ref="N8:O8"/>
    <mergeCell ref="P8:Q8"/>
    <mergeCell ref="R8:S8"/>
    <mergeCell ref="T8:U8"/>
    <mergeCell ref="C9:D9"/>
    <mergeCell ref="E9:F9"/>
    <mergeCell ref="G9:H9"/>
    <mergeCell ref="I9:J9"/>
    <mergeCell ref="N9:O9"/>
    <mergeCell ref="P9:Q9"/>
    <mergeCell ref="R9:S9"/>
    <mergeCell ref="T9:U9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76"/>
  <sheetViews>
    <sheetView zoomScale="85" zoomScaleNormal="85" workbookViewId="0">
      <pane ySplit="1" topLeftCell="A37" activePane="bottomLeft" state="frozen"/>
      <selection/>
      <selection pane="bottomLeft" activeCell="F8" sqref="F8"/>
    </sheetView>
  </sheetViews>
  <sheetFormatPr defaultColWidth="9" defaultRowHeight="14"/>
  <cols>
    <col min="1" max="1" width="9" style="39"/>
    <col min="2" max="2" width="9" style="40"/>
    <col min="3" max="3" width="12.8727272727273" style="40" customWidth="1"/>
    <col min="4" max="4" width="13.7545454545455" style="39"/>
    <col min="5" max="5" width="9" style="41"/>
    <col min="6" max="6" width="12.8" style="41"/>
    <col min="7" max="8" width="9" style="41"/>
    <col min="9" max="16384" width="9" style="39"/>
  </cols>
  <sheetData>
    <row r="1" s="39" customFormat="1" ht="24" customHeight="1" spans="2:14">
      <c r="B1" s="42" t="s">
        <v>43</v>
      </c>
      <c r="C1" s="42"/>
      <c r="D1" s="43" t="s">
        <v>44</v>
      </c>
      <c r="E1" s="41"/>
      <c r="F1" s="41"/>
      <c r="G1" s="41"/>
      <c r="H1" s="41"/>
      <c r="N1" s="39" t="s">
        <v>45</v>
      </c>
    </row>
    <row r="2" s="39" customFormat="1" ht="24" customHeight="1" spans="2:14">
      <c r="B2" s="42" t="s">
        <v>1</v>
      </c>
      <c r="C2" s="43" t="s">
        <v>20</v>
      </c>
      <c r="D2" s="43">
        <v>1580654</v>
      </c>
      <c r="E2" s="41"/>
      <c r="F2" s="41"/>
      <c r="G2" s="41"/>
      <c r="H2" s="41"/>
    </row>
    <row r="3" s="39" customFormat="1" ht="24" customHeight="1" spans="2:14">
      <c r="B3" s="42"/>
      <c r="C3" s="43" t="s">
        <v>21</v>
      </c>
      <c r="D3" s="43">
        <v>120181434</v>
      </c>
      <c r="E3" s="41"/>
      <c r="F3" s="41"/>
      <c r="G3" s="41"/>
      <c r="H3" s="41"/>
    </row>
    <row r="4" s="39" customFormat="1" ht="24" customHeight="1" spans="2:14">
      <c r="B4" s="42"/>
      <c r="C4" s="43" t="s">
        <v>6</v>
      </c>
      <c r="D4" s="43">
        <v>750</v>
      </c>
      <c r="E4" s="41"/>
      <c r="F4" s="41"/>
      <c r="G4" s="41"/>
      <c r="H4" s="41"/>
    </row>
    <row r="5" s="39" customFormat="1" ht="24" customHeight="1" spans="2:14">
      <c r="B5" s="42"/>
      <c r="C5" s="43" t="s">
        <v>7</v>
      </c>
      <c r="D5" s="43">
        <v>450000</v>
      </c>
      <c r="E5" s="41" t="s">
        <v>46</v>
      </c>
      <c r="F5" s="41">
        <f>(D3-D10-D12)/(D2-D6)</f>
        <v>64.6041248590243</v>
      </c>
      <c r="G5" s="41"/>
      <c r="H5" s="41"/>
    </row>
    <row r="6" s="39" customFormat="1" ht="24" customHeight="1" spans="2:14">
      <c r="B6" s="42"/>
      <c r="C6" s="42" t="s">
        <v>8</v>
      </c>
      <c r="D6" s="43">
        <v>206304</v>
      </c>
      <c r="E6" s="41" t="s">
        <v>47</v>
      </c>
      <c r="F6" s="41">
        <f>D10/D6</f>
        <v>129.796683534978</v>
      </c>
      <c r="G6" s="41"/>
      <c r="H6" s="41"/>
    </row>
    <row r="7" s="39" customFormat="1" ht="24" customHeight="1" spans="2:14">
      <c r="B7" s="42"/>
      <c r="C7" s="42" t="s">
        <v>10</v>
      </c>
      <c r="D7" s="43">
        <v>78137</v>
      </c>
      <c r="E7" s="41"/>
      <c r="F7" s="41">
        <f>F6-F5</f>
        <v>65.1925586759533</v>
      </c>
      <c r="G7" s="41"/>
      <c r="H7" s="41"/>
    </row>
    <row r="8" s="39" customFormat="1" ht="24" customHeight="1" spans="2:14">
      <c r="B8" s="42"/>
      <c r="C8" s="42" t="s">
        <v>9</v>
      </c>
      <c r="D8" s="44">
        <v>0.274703717115324</v>
      </c>
      <c r="E8" s="41"/>
      <c r="F8" s="41">
        <f>F7*D6+D12</f>
        <v>18064665.6250839</v>
      </c>
      <c r="G8" s="41"/>
      <c r="H8" s="41"/>
    </row>
    <row r="9" s="39" customFormat="1" ht="24" customHeight="1" spans="2:14">
      <c r="B9" s="42"/>
      <c r="C9" s="45" t="s">
        <v>11</v>
      </c>
      <c r="D9" s="46">
        <v>284441</v>
      </c>
      <c r="E9" s="41"/>
      <c r="F9" s="41"/>
      <c r="G9" s="41"/>
      <c r="H9" s="41"/>
    </row>
    <row r="10" s="39" customFormat="1" ht="24" customHeight="1" spans="2:14">
      <c r="B10" s="42"/>
      <c r="C10" s="42" t="s">
        <v>12</v>
      </c>
      <c r="D10" s="43">
        <v>26777575</v>
      </c>
      <c r="E10" s="41"/>
      <c r="F10" s="41"/>
      <c r="G10" s="41"/>
      <c r="H10" s="41"/>
    </row>
    <row r="11" s="39" customFormat="1" ht="24" customHeight="1" spans="2:14">
      <c r="B11" s="42"/>
      <c r="C11" s="42" t="s">
        <v>9</v>
      </c>
      <c r="D11" s="44">
        <v>0.852985824276971</v>
      </c>
      <c r="E11" s="41"/>
      <c r="F11" s="41"/>
      <c r="G11" s="41"/>
      <c r="H11" s="41"/>
    </row>
    <row r="12" s="39" customFormat="1" ht="24" customHeight="1" spans="2:14">
      <c r="B12" s="42"/>
      <c r="C12" s="42" t="s">
        <v>13</v>
      </c>
      <c r="D12" s="43">
        <v>4615180</v>
      </c>
      <c r="E12" s="41"/>
      <c r="F12" s="41"/>
      <c r="G12" s="41"/>
      <c r="H12" s="41"/>
    </row>
    <row r="13" s="39" customFormat="1" ht="24" customHeight="1" spans="2:14">
      <c r="B13" s="42"/>
      <c r="C13" s="42" t="s">
        <v>9</v>
      </c>
      <c r="D13" s="44">
        <v>0.147014175723029</v>
      </c>
      <c r="E13" s="41"/>
      <c r="F13" s="41"/>
      <c r="G13" s="41"/>
      <c r="H13" s="41"/>
    </row>
    <row r="14" s="39" customFormat="1" ht="24" customHeight="1" spans="2:14">
      <c r="B14" s="42"/>
      <c r="C14" s="45" t="s">
        <v>14</v>
      </c>
      <c r="D14" s="46">
        <v>31392755</v>
      </c>
      <c r="E14" s="41"/>
      <c r="F14" s="41"/>
      <c r="G14" s="41"/>
      <c r="H14" s="41"/>
    </row>
    <row r="15" s="39" customFormat="1" ht="24" customHeight="1" spans="2:14">
      <c r="B15" s="42"/>
      <c r="C15" s="42" t="s">
        <v>15</v>
      </c>
      <c r="D15" s="44">
        <v>0.261211353161254</v>
      </c>
      <c r="E15" s="41"/>
      <c r="F15" s="41"/>
      <c r="G15" s="41"/>
      <c r="H15" s="41"/>
    </row>
    <row r="16" s="39" customFormat="1" ht="24" customHeight="1" spans="2:14">
      <c r="B16" s="42"/>
      <c r="C16" s="45" t="s">
        <v>16</v>
      </c>
      <c r="D16" s="47">
        <v>0.632091111111111</v>
      </c>
      <c r="E16" s="41"/>
      <c r="F16" s="41"/>
      <c r="G16" s="41"/>
      <c r="H16" s="41"/>
    </row>
    <row r="17" s="39" customFormat="1" ht="24" customHeight="1" spans="2:8">
      <c r="B17" s="42"/>
      <c r="C17" s="45" t="s">
        <v>17</v>
      </c>
      <c r="D17" s="47">
        <v>0.179951463128553</v>
      </c>
      <c r="E17" s="41"/>
      <c r="F17" s="41"/>
      <c r="G17" s="41"/>
      <c r="H17" s="41"/>
    </row>
    <row r="18" s="39" customFormat="1" ht="24" customHeight="1" spans="2:8">
      <c r="B18" s="40"/>
      <c r="C18" s="48"/>
      <c r="D18" s="49"/>
      <c r="E18" s="41"/>
      <c r="F18" s="41"/>
      <c r="G18" s="41"/>
      <c r="H18" s="41"/>
    </row>
    <row r="19" s="39" customFormat="1" ht="24" customHeight="1" spans="2:8">
      <c r="B19" s="42" t="s">
        <v>43</v>
      </c>
      <c r="C19" s="42"/>
      <c r="D19" s="43" t="s">
        <v>44</v>
      </c>
      <c r="E19" s="41"/>
      <c r="F19" s="41"/>
      <c r="G19" s="41"/>
      <c r="H19" s="41"/>
    </row>
    <row r="20" s="39" customFormat="1" ht="24" customHeight="1" spans="2:8">
      <c r="B20" s="42" t="s">
        <v>2</v>
      </c>
      <c r="C20" s="43" t="s">
        <v>20</v>
      </c>
      <c r="D20" s="43">
        <v>1605190</v>
      </c>
      <c r="E20" s="41"/>
      <c r="F20" s="41"/>
      <c r="G20" s="41"/>
      <c r="H20" s="41"/>
    </row>
    <row r="21" s="39" customFormat="1" ht="24" customHeight="1" spans="2:8">
      <c r="B21" s="42"/>
      <c r="C21" s="43" t="s">
        <v>21</v>
      </c>
      <c r="D21" s="43">
        <v>125902211</v>
      </c>
      <c r="E21" s="41"/>
      <c r="F21" s="41"/>
      <c r="G21" s="41"/>
      <c r="H21" s="41"/>
    </row>
    <row r="22" s="39" customFormat="1" ht="24" customHeight="1" spans="2:8">
      <c r="B22" s="42"/>
      <c r="C22" s="43" t="s">
        <v>6</v>
      </c>
      <c r="D22" s="43">
        <v>683</v>
      </c>
      <c r="E22" s="41"/>
      <c r="F22" s="41"/>
      <c r="G22" s="41"/>
      <c r="H22" s="41"/>
    </row>
    <row r="23" s="39" customFormat="1" ht="24" customHeight="1" spans="2:8">
      <c r="B23" s="42"/>
      <c r="C23" s="43" t="s">
        <v>7</v>
      </c>
      <c r="D23" s="43">
        <v>414600</v>
      </c>
      <c r="E23" s="41" t="s">
        <v>46</v>
      </c>
      <c r="F23" s="41">
        <f>(D21-D29-D31)/(D20-D24)</f>
        <v>68.5286860786177</v>
      </c>
      <c r="G23" s="41"/>
      <c r="H23" s="41"/>
    </row>
    <row r="24" s="39" customFormat="1" ht="24" customHeight="1" spans="2:8">
      <c r="B24" s="42"/>
      <c r="C24" s="42" t="s">
        <v>8</v>
      </c>
      <c r="D24" s="43">
        <v>158315</v>
      </c>
      <c r="E24" s="41" t="s">
        <v>47</v>
      </c>
      <c r="F24" s="41">
        <f>D29/D24</f>
        <v>129.391975681395</v>
      </c>
      <c r="G24" s="41"/>
      <c r="H24" s="41"/>
    </row>
    <row r="25" s="39" customFormat="1" ht="24" customHeight="1" spans="2:8">
      <c r="B25" s="42"/>
      <c r="C25" s="42" t="s">
        <v>9</v>
      </c>
      <c r="D25" s="44">
        <v>0.607245598557784</v>
      </c>
      <c r="E25" s="41"/>
      <c r="F25" s="41">
        <f>F24-F23</f>
        <v>60.863289602777</v>
      </c>
      <c r="G25" s="41"/>
      <c r="H25" s="41"/>
    </row>
    <row r="26" s="39" customFormat="1" ht="24" customHeight="1" spans="2:8">
      <c r="B26" s="42"/>
      <c r="C26" s="42" t="s">
        <v>10</v>
      </c>
      <c r="D26" s="43">
        <v>102395</v>
      </c>
      <c r="E26" s="41"/>
      <c r="F26" s="41">
        <f>F25*D24+D31</f>
        <v>15900649.3934636</v>
      </c>
      <c r="G26" s="41"/>
      <c r="H26" s="41"/>
    </row>
    <row r="27" s="39" customFormat="1" ht="24" customHeight="1" spans="2:8">
      <c r="B27" s="42"/>
      <c r="C27" s="42" t="s">
        <v>9</v>
      </c>
      <c r="D27" s="44">
        <v>0.392754401442215</v>
      </c>
      <c r="E27" s="41"/>
      <c r="F27" s="41"/>
      <c r="G27" s="41"/>
      <c r="H27" s="41"/>
    </row>
    <row r="28" s="39" customFormat="1" ht="24" customHeight="1" spans="2:8">
      <c r="B28" s="42"/>
      <c r="C28" s="45" t="s">
        <v>11</v>
      </c>
      <c r="D28" s="43">
        <v>260710</v>
      </c>
      <c r="E28" s="41"/>
      <c r="F28" s="41"/>
      <c r="G28" s="41"/>
      <c r="H28" s="41"/>
    </row>
    <row r="29" s="39" customFormat="1" ht="24" customHeight="1" spans="2:8">
      <c r="B29" s="42"/>
      <c r="C29" s="42" t="s">
        <v>12</v>
      </c>
      <c r="D29" s="43">
        <v>20484690.63</v>
      </c>
      <c r="E29" s="41"/>
      <c r="F29" s="41"/>
      <c r="G29" s="41"/>
      <c r="H29" s="41"/>
    </row>
    <row r="30" s="39" customFormat="1" ht="24" customHeight="1" spans="2:8">
      <c r="B30" s="42"/>
      <c r="C30" s="42" t="s">
        <v>9</v>
      </c>
      <c r="D30" s="44">
        <v>0.765789459455853</v>
      </c>
      <c r="E30" s="41"/>
      <c r="F30" s="41"/>
      <c r="G30" s="41"/>
      <c r="H30" s="41"/>
    </row>
    <row r="31" s="39" customFormat="1" ht="24" customHeight="1" spans="2:8">
      <c r="B31" s="42"/>
      <c r="C31" s="42" t="s">
        <v>13</v>
      </c>
      <c r="D31" s="43">
        <v>6265077.7</v>
      </c>
      <c r="E31" s="41"/>
      <c r="F31" s="41"/>
      <c r="G31" s="41"/>
      <c r="H31" s="41"/>
    </row>
    <row r="32" s="39" customFormat="1" ht="24" customHeight="1" spans="2:8">
      <c r="B32" s="42"/>
      <c r="C32" s="42" t="s">
        <v>9</v>
      </c>
      <c r="D32" s="44">
        <v>0.234210540544147</v>
      </c>
      <c r="E32" s="41"/>
      <c r="F32" s="41"/>
      <c r="G32" s="41"/>
      <c r="H32" s="41"/>
    </row>
    <row r="33" s="39" customFormat="1" ht="24" customHeight="1" spans="2:8">
      <c r="B33" s="42"/>
      <c r="C33" s="45" t="s">
        <v>14</v>
      </c>
      <c r="D33" s="43">
        <v>26749768.33</v>
      </c>
      <c r="E33" s="41"/>
      <c r="F33" s="41"/>
      <c r="G33" s="41"/>
      <c r="H33" s="41"/>
    </row>
    <row r="34" s="39" customFormat="1" ht="24" customHeight="1" spans="2:8">
      <c r="B34" s="42"/>
      <c r="C34" s="42" t="s">
        <v>15</v>
      </c>
      <c r="D34" s="44">
        <v>0.212464643134822</v>
      </c>
      <c r="E34" s="41"/>
      <c r="F34" s="41"/>
      <c r="G34" s="41"/>
      <c r="H34" s="41"/>
    </row>
    <row r="35" s="39" customFormat="1" ht="24" customHeight="1" spans="2:8">
      <c r="B35" s="42"/>
      <c r="C35" s="45" t="s">
        <v>16</v>
      </c>
      <c r="D35" s="47">
        <v>0.628822961890979</v>
      </c>
      <c r="E35" s="41"/>
      <c r="F35" s="41"/>
      <c r="G35" s="41"/>
      <c r="H35" s="41"/>
    </row>
    <row r="36" s="39" customFormat="1" ht="24" customHeight="1" spans="2:8">
      <c r="B36" s="42"/>
      <c r="C36" s="45" t="s">
        <v>17</v>
      </c>
      <c r="D36" s="47">
        <v>0.162416910147708</v>
      </c>
      <c r="E36" s="41"/>
      <c r="F36" s="41"/>
      <c r="G36" s="41"/>
      <c r="H36" s="41"/>
    </row>
    <row r="37" s="39" customFormat="1" ht="24" customHeight="1" spans="2:8">
      <c r="B37" s="40"/>
      <c r="C37" s="48"/>
      <c r="D37" s="49"/>
      <c r="E37" s="41"/>
      <c r="F37" s="41"/>
      <c r="G37" s="41"/>
      <c r="H37" s="41"/>
    </row>
    <row r="38" s="39" customFormat="1" ht="24" customHeight="1" spans="2:8">
      <c r="B38" s="42" t="s">
        <v>43</v>
      </c>
      <c r="C38" s="42"/>
      <c r="D38" s="43" t="s">
        <v>44</v>
      </c>
      <c r="E38" s="41"/>
      <c r="F38" s="41"/>
      <c r="G38" s="41"/>
      <c r="H38" s="41"/>
    </row>
    <row r="39" s="39" customFormat="1" ht="24" customHeight="1" spans="2:8">
      <c r="B39" s="42" t="s">
        <v>3</v>
      </c>
      <c r="C39" s="43" t="s">
        <v>20</v>
      </c>
      <c r="D39" s="43">
        <v>1338184</v>
      </c>
      <c r="E39" s="41"/>
      <c r="F39" s="41"/>
      <c r="G39" s="41"/>
      <c r="H39" s="41"/>
    </row>
    <row r="40" s="39" customFormat="1" ht="24" customHeight="1" spans="2:8">
      <c r="B40" s="42"/>
      <c r="C40" s="43" t="s">
        <v>21</v>
      </c>
      <c r="D40" s="43">
        <v>103029102</v>
      </c>
      <c r="E40" s="41"/>
      <c r="F40" s="41"/>
      <c r="G40" s="41"/>
      <c r="H40" s="41"/>
    </row>
    <row r="41" s="39" customFormat="1" ht="24" customHeight="1" spans="2:8">
      <c r="B41" s="42"/>
      <c r="C41" s="43" t="s">
        <v>6</v>
      </c>
      <c r="D41" s="43">
        <v>831</v>
      </c>
      <c r="E41" s="41"/>
      <c r="F41" s="41"/>
      <c r="G41" s="41"/>
      <c r="H41" s="41"/>
    </row>
    <row r="42" s="39" customFormat="1" ht="24" customHeight="1" spans="2:8">
      <c r="B42" s="42"/>
      <c r="C42" s="43" t="s">
        <v>7</v>
      </c>
      <c r="D42" s="43">
        <v>925650</v>
      </c>
      <c r="E42" s="41" t="s">
        <v>46</v>
      </c>
      <c r="F42" s="41">
        <f>(D40-D48-D50)/(D39-D43)</f>
        <v>62.0508884500973</v>
      </c>
      <c r="G42" s="41"/>
      <c r="H42" s="41"/>
    </row>
    <row r="43" s="39" customFormat="1" ht="24" customHeight="1" spans="2:8">
      <c r="B43" s="42"/>
      <c r="C43" s="42" t="s">
        <v>8</v>
      </c>
      <c r="D43" s="43">
        <v>365310</v>
      </c>
      <c r="E43" s="41" t="s">
        <v>47</v>
      </c>
      <c r="F43" s="41">
        <f>D48/D43</f>
        <v>101.590621526922</v>
      </c>
      <c r="G43" s="41"/>
      <c r="H43" s="41"/>
    </row>
    <row r="44" s="39" customFormat="1" ht="24" customHeight="1" spans="2:8">
      <c r="B44" s="42"/>
      <c r="C44" s="42" t="s">
        <v>9</v>
      </c>
      <c r="D44" s="44">
        <v>0.776414478787866</v>
      </c>
      <c r="E44" s="41"/>
      <c r="F44" s="41">
        <f>F43-F42</f>
        <v>39.539733076825</v>
      </c>
      <c r="G44" s="41"/>
      <c r="H44" s="41"/>
    </row>
    <row r="45" s="39" customFormat="1" ht="24" customHeight="1" spans="2:8">
      <c r="B45" s="42"/>
      <c r="C45" s="42" t="s">
        <v>10</v>
      </c>
      <c r="D45" s="43">
        <v>105199</v>
      </c>
      <c r="E45" s="41"/>
      <c r="F45" s="50">
        <f>F44*D43+D50</f>
        <v>19993595.8902949</v>
      </c>
      <c r="G45" s="41"/>
      <c r="H45" s="41"/>
    </row>
    <row r="46" s="39" customFormat="1" ht="24" customHeight="1" spans="2:8">
      <c r="B46" s="42"/>
      <c r="C46" s="42" t="s">
        <v>9</v>
      </c>
      <c r="D46" s="44">
        <v>0.223585521212134</v>
      </c>
      <c r="E46" s="41"/>
      <c r="F46" s="41"/>
      <c r="G46" s="41"/>
      <c r="H46" s="41"/>
    </row>
    <row r="47" s="39" customFormat="1" ht="24" customHeight="1" spans="2:8">
      <c r="B47" s="42"/>
      <c r="C47" s="45" t="s">
        <v>11</v>
      </c>
      <c r="D47" s="43">
        <v>470509</v>
      </c>
      <c r="E47" s="41"/>
      <c r="F47" s="41"/>
      <c r="G47" s="41"/>
      <c r="H47" s="41"/>
    </row>
    <row r="48" s="39" customFormat="1" ht="24" customHeight="1" spans="2:8">
      <c r="B48" s="42"/>
      <c r="C48" s="42" t="s">
        <v>12</v>
      </c>
      <c r="D48" s="43">
        <v>37112069.95</v>
      </c>
      <c r="E48" s="41"/>
      <c r="F48" s="41"/>
      <c r="G48" s="41"/>
      <c r="H48" s="41"/>
    </row>
    <row r="49" s="39" customFormat="1" ht="24" customHeight="1" spans="2:8">
      <c r="B49" s="42"/>
      <c r="C49" s="42" t="s">
        <v>9</v>
      </c>
      <c r="D49" s="44">
        <v>0.869921399062564</v>
      </c>
      <c r="E49" s="41"/>
      <c r="F49" s="41"/>
      <c r="G49" s="41"/>
      <c r="H49" s="41"/>
    </row>
    <row r="50" s="39" customFormat="1" ht="24" customHeight="1" spans="2:8">
      <c r="B50" s="42"/>
      <c r="C50" s="42" t="s">
        <v>13</v>
      </c>
      <c r="D50" s="43">
        <v>5549336</v>
      </c>
      <c r="E50" s="41"/>
      <c r="F50" s="41"/>
      <c r="G50" s="41"/>
      <c r="H50" s="41"/>
    </row>
    <row r="51" s="39" customFormat="1" ht="24" customHeight="1" spans="2:8">
      <c r="B51" s="42"/>
      <c r="C51" s="42" t="s">
        <v>9</v>
      </c>
      <c r="D51" s="44">
        <v>0.130078600937436</v>
      </c>
      <c r="E51" s="41"/>
      <c r="F51" s="41"/>
      <c r="G51" s="41"/>
      <c r="H51" s="41"/>
    </row>
    <row r="52" s="39" customFormat="1" ht="24" customHeight="1" spans="2:8">
      <c r="B52" s="42"/>
      <c r="C52" s="45" t="s">
        <v>14</v>
      </c>
      <c r="D52" s="43">
        <v>42661405.95</v>
      </c>
      <c r="E52" s="41"/>
      <c r="F52" s="41"/>
      <c r="G52" s="41"/>
      <c r="H52" s="41"/>
    </row>
    <row r="53" s="39" customFormat="1" ht="24" customHeight="1" spans="2:8">
      <c r="B53" s="42"/>
      <c r="C53" s="42" t="s">
        <v>15</v>
      </c>
      <c r="D53" s="44">
        <v>0.414071414016595</v>
      </c>
      <c r="E53" s="41"/>
      <c r="F53" s="41"/>
      <c r="G53" s="41"/>
      <c r="H53" s="41"/>
    </row>
    <row r="54" s="39" customFormat="1" ht="24" customHeight="1" spans="2:8">
      <c r="B54" s="42"/>
      <c r="C54" s="45" t="s">
        <v>16</v>
      </c>
      <c r="D54" s="47">
        <v>0.508301193755739</v>
      </c>
      <c r="E54" s="41"/>
      <c r="F54" s="41"/>
      <c r="G54" s="41"/>
      <c r="H54" s="41"/>
    </row>
    <row r="55" s="39" customFormat="1" ht="24" customHeight="1" spans="2:8">
      <c r="B55" s="42"/>
      <c r="C55" s="45" t="s">
        <v>17</v>
      </c>
      <c r="D55" s="47">
        <v>0.351602619669642</v>
      </c>
      <c r="E55" s="41"/>
      <c r="F55" s="41"/>
      <c r="G55" s="41"/>
      <c r="H55" s="41"/>
    </row>
    <row r="56" s="39" customFormat="1" ht="24" customHeight="1" spans="2:8">
      <c r="B56" s="40"/>
      <c r="C56" s="48" t="s">
        <v>48</v>
      </c>
      <c r="D56" s="51">
        <v>101.590621526922</v>
      </c>
      <c r="E56" s="41"/>
      <c r="F56" s="41"/>
      <c r="G56" s="41"/>
      <c r="H56" s="41"/>
    </row>
    <row r="57" s="39" customFormat="1" ht="24" customHeight="1" spans="2:8">
      <c r="B57" s="40"/>
      <c r="C57" s="40" t="s">
        <v>49</v>
      </c>
      <c r="D57" s="52">
        <v>62.0508884500973</v>
      </c>
      <c r="E57" s="41"/>
      <c r="F57" s="41"/>
      <c r="G57" s="41"/>
      <c r="H57" s="41"/>
    </row>
    <row r="58" s="39" customFormat="1" ht="24" customHeight="1" spans="2:8">
      <c r="B58" s="40"/>
      <c r="C58" s="40" t="s">
        <v>50</v>
      </c>
      <c r="D58" s="52">
        <v>39.539733076825</v>
      </c>
      <c r="E58" s="41"/>
      <c r="F58" s="41"/>
      <c r="G58" s="41"/>
      <c r="H58" s="41"/>
    </row>
    <row r="59" s="39" customFormat="1" ht="24" customHeight="1" spans="2:8">
      <c r="B59" s="42" t="s">
        <v>43</v>
      </c>
      <c r="C59" s="42"/>
      <c r="E59" s="41"/>
      <c r="F59" s="41"/>
      <c r="G59" s="41"/>
      <c r="H59" s="41"/>
    </row>
    <row r="60" s="39" customFormat="1" ht="24" customHeight="1" spans="2:8">
      <c r="B60" s="42" t="s">
        <v>19</v>
      </c>
      <c r="C60" s="53" t="s">
        <v>20</v>
      </c>
      <c r="D60" s="39">
        <v>451001</v>
      </c>
      <c r="E60" s="41"/>
      <c r="F60" s="41"/>
      <c r="G60" s="41"/>
      <c r="H60" s="41"/>
    </row>
    <row r="61" s="39" customFormat="1" ht="24" customHeight="1" spans="2:8">
      <c r="B61" s="42"/>
      <c r="C61" s="53" t="s">
        <v>21</v>
      </c>
      <c r="D61" s="39">
        <v>34695557</v>
      </c>
      <c r="E61" s="41"/>
      <c r="F61" s="41"/>
      <c r="G61" s="41"/>
      <c r="H61" s="41"/>
    </row>
    <row r="62" s="39" customFormat="1" ht="24" customHeight="1" spans="2:8">
      <c r="B62" s="42"/>
      <c r="C62" s="53" t="s">
        <v>6</v>
      </c>
      <c r="D62" s="39">
        <v>122</v>
      </c>
      <c r="E62" s="41"/>
      <c r="F62" s="41"/>
      <c r="G62" s="41"/>
      <c r="H62" s="41"/>
    </row>
    <row r="63" s="39" customFormat="1" ht="24" customHeight="1" spans="2:8">
      <c r="B63" s="42"/>
      <c r="C63" s="53" t="s">
        <v>7</v>
      </c>
      <c r="D63" s="39">
        <v>140220</v>
      </c>
      <c r="E63" s="41" t="s">
        <v>46</v>
      </c>
      <c r="F63" s="41">
        <f>(D61-D69-D71)/(D60-D64)</f>
        <v>69.1624296814827</v>
      </c>
      <c r="G63" s="41"/>
      <c r="H63" s="41"/>
    </row>
    <row r="64" s="39" customFormat="1" ht="24" customHeight="1" spans="2:8">
      <c r="B64" s="42"/>
      <c r="C64" s="54" t="s">
        <v>8</v>
      </c>
      <c r="D64" s="39">
        <v>40725</v>
      </c>
      <c r="E64" s="41" t="s">
        <v>47</v>
      </c>
      <c r="F64" s="41">
        <f>D69/D64</f>
        <v>105.29679558011</v>
      </c>
      <c r="G64" s="41"/>
      <c r="H64" s="41"/>
    </row>
    <row r="65" s="39" customFormat="1" ht="24" customHeight="1" spans="2:8">
      <c r="B65" s="42"/>
      <c r="C65" s="42" t="s">
        <v>9</v>
      </c>
      <c r="D65" s="39">
        <v>0.494938201086494</v>
      </c>
      <c r="E65" s="41"/>
      <c r="F65" s="41">
        <f>F64-F63</f>
        <v>36.1343658986278</v>
      </c>
      <c r="G65" s="41"/>
      <c r="H65" s="41"/>
    </row>
    <row r="66" s="39" customFormat="1" ht="24" customHeight="1" spans="2:8">
      <c r="B66" s="42"/>
      <c r="C66" s="54" t="s">
        <v>10</v>
      </c>
      <c r="D66" s="39">
        <v>41558</v>
      </c>
      <c r="E66" s="41"/>
      <c r="F66" s="50">
        <f>F65*D64+D71</f>
        <v>3503232.05122162</v>
      </c>
      <c r="G66" s="41"/>
      <c r="H66" s="41"/>
    </row>
    <row r="67" s="39" customFormat="1" ht="24" customHeight="1" spans="2:8">
      <c r="B67" s="42"/>
      <c r="C67" s="42" t="s">
        <v>9</v>
      </c>
      <c r="D67" s="39">
        <v>0.505061798913506</v>
      </c>
      <c r="E67" s="41"/>
      <c r="F67" s="41"/>
      <c r="G67" s="41"/>
      <c r="H67" s="41"/>
    </row>
    <row r="68" s="39" customFormat="1" ht="24" customHeight="1" spans="2:8">
      <c r="B68" s="42"/>
      <c r="C68" s="45" t="s">
        <v>11</v>
      </c>
      <c r="D68" s="39">
        <v>82283</v>
      </c>
      <c r="E68" s="41"/>
      <c r="F68" s="41"/>
      <c r="G68" s="41"/>
      <c r="H68" s="41"/>
    </row>
    <row r="69" s="39" customFormat="1" ht="24" customHeight="1" spans="2:8">
      <c r="B69" s="42"/>
      <c r="C69" s="54" t="s">
        <v>12</v>
      </c>
      <c r="D69" s="39">
        <v>4288212</v>
      </c>
      <c r="E69" s="41"/>
      <c r="F69" s="41"/>
      <c r="G69" s="41"/>
      <c r="H69" s="41"/>
    </row>
    <row r="70" s="39" customFormat="1" ht="24" customHeight="1" spans="2:8">
      <c r="B70" s="42"/>
      <c r="C70" s="42" t="s">
        <v>9</v>
      </c>
      <c r="D70" s="39">
        <v>0.678528299307328</v>
      </c>
      <c r="E70" s="41"/>
      <c r="F70" s="41"/>
      <c r="G70" s="41"/>
      <c r="H70" s="41"/>
    </row>
    <row r="71" s="39" customFormat="1" ht="24" customHeight="1" spans="2:8">
      <c r="B71" s="42"/>
      <c r="C71" s="54" t="s">
        <v>13</v>
      </c>
      <c r="D71" s="39">
        <v>2031660</v>
      </c>
      <c r="E71" s="41"/>
      <c r="F71" s="41"/>
      <c r="G71" s="41"/>
      <c r="H71" s="41"/>
    </row>
    <row r="72" s="39" customFormat="1" ht="24" customHeight="1" spans="2:8">
      <c r="B72" s="42"/>
      <c r="C72" s="42" t="s">
        <v>9</v>
      </c>
      <c r="D72" s="39">
        <v>0.321471700692672</v>
      </c>
      <c r="E72" s="41"/>
      <c r="F72" s="41"/>
      <c r="G72" s="41"/>
      <c r="H72" s="41"/>
    </row>
    <row r="73" s="39" customFormat="1" ht="24" customHeight="1" spans="2:8">
      <c r="B73" s="42"/>
      <c r="C73" s="45" t="s">
        <v>14</v>
      </c>
      <c r="D73" s="39">
        <v>6319872</v>
      </c>
      <c r="E73" s="41"/>
      <c r="F73" s="41"/>
      <c r="G73" s="41"/>
      <c r="H73" s="41"/>
    </row>
    <row r="74" s="39" customFormat="1" ht="24" customHeight="1" spans="2:8">
      <c r="B74" s="42"/>
      <c r="C74" s="42" t="s">
        <v>15</v>
      </c>
      <c r="D74" s="39">
        <v>0.182152198911232</v>
      </c>
      <c r="E74" s="41"/>
      <c r="F74" s="41"/>
      <c r="G74" s="41"/>
      <c r="H74" s="41"/>
    </row>
    <row r="75" s="39" customFormat="1" ht="24" customHeight="1" spans="2:8">
      <c r="B75" s="42"/>
      <c r="C75" s="45" t="s">
        <v>16</v>
      </c>
      <c r="D75" s="39">
        <v>0.586813578662102</v>
      </c>
      <c r="E75" s="41"/>
      <c r="F75" s="41"/>
      <c r="G75" s="41"/>
      <c r="H75" s="41"/>
    </row>
    <row r="76" s="39" customFormat="1" ht="24" customHeight="1" spans="2:8">
      <c r="B76" s="42"/>
      <c r="C76" s="45" t="s">
        <v>17</v>
      </c>
      <c r="D76" s="39">
        <v>0.182445271739974</v>
      </c>
      <c r="E76" s="41"/>
      <c r="F76" s="41"/>
      <c r="G76" s="41"/>
      <c r="H76" s="41"/>
    </row>
  </sheetData>
  <mergeCells count="8">
    <mergeCell ref="B1:C1"/>
    <mergeCell ref="B19:C19"/>
    <mergeCell ref="B38:C38"/>
    <mergeCell ref="B59:C59"/>
    <mergeCell ref="B2:B17"/>
    <mergeCell ref="B20:B36"/>
    <mergeCell ref="B39:B55"/>
    <mergeCell ref="B60:B76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zoomScale="148" zoomScaleNormal="148" workbookViewId="0">
      <selection activeCell="J18" sqref="J18:J19"/>
    </sheetView>
  </sheetViews>
  <sheetFormatPr defaultColWidth="9" defaultRowHeight="14" outlineLevelRow="5" outlineLevelCol="6"/>
  <cols>
    <col min="2" max="2" width="19.4909090909091" customWidth="1"/>
    <col min="5" max="5" width="13.1272727272727" customWidth="1"/>
    <col min="7" max="7" width="11.3727272727273" customWidth="1"/>
  </cols>
  <sheetData>
    <row r="1" ht="18" customHeight="1" spans="1:7">
      <c r="A1" s="34" t="s">
        <v>51</v>
      </c>
      <c r="B1" s="34"/>
      <c r="C1" s="34"/>
      <c r="D1" s="34"/>
      <c r="E1" s="34"/>
      <c r="F1" s="34"/>
      <c r="G1" s="34"/>
    </row>
    <row r="2" spans="1:7">
      <c r="A2" s="21" t="s">
        <v>52</v>
      </c>
      <c r="B2" s="21" t="s">
        <v>53</v>
      </c>
      <c r="C2" s="21" t="s">
        <v>54</v>
      </c>
      <c r="D2" s="21" t="s">
        <v>40</v>
      </c>
      <c r="E2" s="35" t="s">
        <v>16</v>
      </c>
      <c r="F2" s="21" t="s">
        <v>10</v>
      </c>
      <c r="G2" s="21" t="s">
        <v>55</v>
      </c>
    </row>
    <row r="3" ht="15" spans="1:7">
      <c r="A3" s="21">
        <v>1</v>
      </c>
      <c r="B3" s="21" t="s">
        <v>56</v>
      </c>
      <c r="C3" s="28">
        <v>35</v>
      </c>
      <c r="D3" s="28">
        <v>14444</v>
      </c>
      <c r="E3" s="36">
        <v>0.383926649127665</v>
      </c>
      <c r="F3" s="28">
        <v>2038</v>
      </c>
      <c r="G3" s="37">
        <v>0.141096649127665</v>
      </c>
    </row>
    <row r="4" ht="15" spans="1:7">
      <c r="A4" s="21">
        <v>2</v>
      </c>
      <c r="B4" s="21" t="s">
        <v>57</v>
      </c>
      <c r="C4" s="28">
        <v>35</v>
      </c>
      <c r="D4" s="28">
        <v>17797</v>
      </c>
      <c r="E4" s="36">
        <v>0.44622111029949</v>
      </c>
      <c r="F4" s="28">
        <v>4862</v>
      </c>
      <c r="G4" s="37">
        <v>0.273192111029949</v>
      </c>
    </row>
    <row r="5" ht="15" spans="1:7">
      <c r="A5" s="21">
        <v>3</v>
      </c>
      <c r="B5" s="21" t="s">
        <v>58</v>
      </c>
      <c r="C5" s="28">
        <v>70</v>
      </c>
      <c r="D5" s="28">
        <v>32241</v>
      </c>
      <c r="E5" s="37">
        <v>0.415913212989672</v>
      </c>
      <c r="F5" s="28">
        <v>6900</v>
      </c>
      <c r="G5" s="37">
        <v>0.214013212989672</v>
      </c>
    </row>
    <row r="6" ht="15" spans="1:7">
      <c r="A6" s="21">
        <v>4</v>
      </c>
      <c r="B6" s="21" t="s">
        <v>59</v>
      </c>
      <c r="C6" s="28">
        <v>86</v>
      </c>
      <c r="D6" s="28">
        <v>68964</v>
      </c>
      <c r="E6" s="38">
        <v>0.70344670726756</v>
      </c>
      <c r="F6" s="28">
        <v>31997</v>
      </c>
      <c r="G6" s="38">
        <v>0.46396670726756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G1"/>
  </mergeCells>
  <conditionalFormatting sqref="E3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{918ec422-0eaf-423b-a45a-bff439740338}</x14:id>
        </ext>
      </extLst>
    </cfRule>
  </conditionalFormatting>
  <conditionalFormatting sqref="E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{24148295-2283-4986-a61c-5384dab538c5}</x14:id>
        </ext>
      </extLst>
    </cfRule>
  </conditionalFormatting>
  <conditionalFormatting sqref="E5:E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{61e7f8a5-3680-4529-aadc-daa28b2dabc0}</x14:id>
        </ext>
      </extLst>
    </cfRule>
  </conditionalFormatting>
  <conditionalFormatting sqref="G3:G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{db972972-2805-485c-8480-b6b385aedea3}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18ec422-0eaf-423b-a45a-bff4397403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E3</xm:sqref>
        </x14:conditionalFormatting>
        <x14:conditionalFormatting xmlns:xm="http://schemas.microsoft.com/office/excel/2006/main">
          <x14:cfRule type="dataBar" id="{24148295-2283-4986-a61c-5384dab538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E4</xm:sqref>
        </x14:conditionalFormatting>
        <x14:conditionalFormatting xmlns:xm="http://schemas.microsoft.com/office/excel/2006/main">
          <x14:cfRule type="dataBar" id="{61e7f8a5-3680-4529-aadc-daa28b2dab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E5:E6</xm:sqref>
        </x14:conditionalFormatting>
        <x14:conditionalFormatting xmlns:xm="http://schemas.microsoft.com/office/excel/2006/main">
          <x14:cfRule type="dataBar" id="{db972972-2805-485c-8480-b6b385aede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G3:G6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"/>
  <sheetViews>
    <sheetView zoomScale="155" zoomScaleNormal="155" workbookViewId="0">
      <selection activeCell="D12" sqref="D12"/>
    </sheetView>
  </sheetViews>
  <sheetFormatPr defaultColWidth="9" defaultRowHeight="15"/>
  <cols>
    <col min="1" max="1" width="13.8727272727273" style="9" customWidth="1"/>
    <col min="2" max="2" width="12.5090909090909" style="9" customWidth="1"/>
    <col min="3" max="3" width="13.3727272727273" style="9" customWidth="1"/>
    <col min="4" max="11" width="11.6272727272727" style="9" customWidth="1"/>
    <col min="12" max="13" width="10.3636363636364" style="9"/>
    <col min="14" max="14" width="10.8727272727273" style="9" customWidth="1"/>
    <col min="15" max="16384" width="9" style="9"/>
  </cols>
  <sheetData>
    <row r="1" ht="102" customHeight="1" spans="1:14">
      <c r="A1" s="10" t="s">
        <v>60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>
      <c r="A2" s="12" t="s">
        <v>61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>
      <c r="A3" s="14" t="s">
        <v>62</v>
      </c>
      <c r="B3" s="14" t="s">
        <v>35</v>
      </c>
      <c r="C3" s="14" t="s">
        <v>36</v>
      </c>
      <c r="D3" s="14" t="s">
        <v>37</v>
      </c>
      <c r="E3" s="14" t="s">
        <v>63</v>
      </c>
      <c r="F3" s="14" t="s">
        <v>64</v>
      </c>
      <c r="G3" s="14" t="s">
        <v>65</v>
      </c>
      <c r="H3" s="14" t="s">
        <v>66</v>
      </c>
      <c r="I3" s="14" t="s">
        <v>67</v>
      </c>
      <c r="J3" s="14" t="s">
        <v>68</v>
      </c>
      <c r="K3" s="14" t="s">
        <v>69</v>
      </c>
      <c r="L3" s="14" t="s">
        <v>70</v>
      </c>
      <c r="M3" s="14" t="s">
        <v>45</v>
      </c>
      <c r="N3" s="14" t="s">
        <v>71</v>
      </c>
    </row>
    <row r="4" spans="1:14">
      <c r="A4" s="14" t="s">
        <v>72</v>
      </c>
      <c r="B4" s="15">
        <v>6.0465</v>
      </c>
      <c r="C4" s="15">
        <v>31.0282</v>
      </c>
      <c r="D4" s="15">
        <v>8.0254</v>
      </c>
      <c r="E4" s="16">
        <v>11</v>
      </c>
      <c r="F4" s="16">
        <v>15</v>
      </c>
      <c r="G4" s="16">
        <v>8</v>
      </c>
      <c r="H4" s="16">
        <v>9</v>
      </c>
      <c r="I4" s="16">
        <v>24</v>
      </c>
      <c r="J4" s="16">
        <v>7</v>
      </c>
      <c r="K4" s="16">
        <v>20</v>
      </c>
      <c r="L4" s="16">
        <v>7</v>
      </c>
      <c r="M4" s="16">
        <v>8</v>
      </c>
      <c r="N4" s="17">
        <v>154.1001</v>
      </c>
    </row>
    <row r="5" spans="1:14">
      <c r="A5" s="14" t="s">
        <v>6</v>
      </c>
      <c r="B5" s="18">
        <v>32</v>
      </c>
      <c r="C5" s="18">
        <v>74</v>
      </c>
      <c r="D5" s="18">
        <v>38</v>
      </c>
      <c r="E5" s="19">
        <v>40</v>
      </c>
      <c r="F5" s="19">
        <v>56</v>
      </c>
      <c r="G5" s="19">
        <v>40</v>
      </c>
      <c r="H5" s="19">
        <v>62</v>
      </c>
      <c r="I5" s="19">
        <v>86</v>
      </c>
      <c r="J5" s="19">
        <v>40</v>
      </c>
      <c r="K5" s="19">
        <v>74</v>
      </c>
      <c r="L5" s="19">
        <v>35</v>
      </c>
      <c r="M5" s="19">
        <v>36</v>
      </c>
      <c r="N5" s="20">
        <f>SUM(B5:M5)</f>
        <v>613</v>
      </c>
    </row>
    <row r="6" spans="1:14">
      <c r="A6" s="14" t="s">
        <v>73</v>
      </c>
      <c r="B6" s="18">
        <v>1140</v>
      </c>
      <c r="C6" s="18">
        <v>1140</v>
      </c>
      <c r="D6" s="18">
        <v>1140</v>
      </c>
      <c r="E6" s="21">
        <v>1140</v>
      </c>
      <c r="F6" s="21">
        <v>1140</v>
      </c>
      <c r="G6" s="21">
        <v>1140</v>
      </c>
      <c r="H6" s="21">
        <v>1140</v>
      </c>
      <c r="I6" s="21">
        <v>1140</v>
      </c>
      <c r="J6" s="21">
        <v>1140</v>
      </c>
      <c r="K6" s="21">
        <v>1140</v>
      </c>
      <c r="L6" s="21">
        <v>1140</v>
      </c>
      <c r="M6" s="21">
        <v>1140</v>
      </c>
      <c r="N6" s="21">
        <v>1140</v>
      </c>
    </row>
    <row r="7" spans="1:14">
      <c r="A7" s="14" t="s">
        <v>74</v>
      </c>
      <c r="B7" s="15">
        <v>1.596</v>
      </c>
      <c r="C7" s="15">
        <v>7.98</v>
      </c>
      <c r="D7" s="15">
        <v>4.332</v>
      </c>
      <c r="E7" s="17">
        <v>4.56</v>
      </c>
      <c r="F7" s="17">
        <v>6.384</v>
      </c>
      <c r="G7" s="17">
        <v>5.928</v>
      </c>
      <c r="H7" s="17">
        <v>7.068</v>
      </c>
      <c r="I7" s="17">
        <v>8.208</v>
      </c>
      <c r="J7" s="17">
        <v>4.332</v>
      </c>
      <c r="K7" s="17">
        <v>8.436</v>
      </c>
      <c r="L7" s="17">
        <v>4.332</v>
      </c>
      <c r="M7" s="17">
        <v>3.876</v>
      </c>
      <c r="N7" s="17">
        <v>67.032</v>
      </c>
    </row>
    <row r="8" spans="1:14">
      <c r="A8" s="14" t="s">
        <v>16</v>
      </c>
      <c r="B8" s="22">
        <v>0.562</v>
      </c>
      <c r="C8" s="22">
        <v>0.731</v>
      </c>
      <c r="D8" s="22">
        <f>D9/D7</f>
        <v>0.528831948291782</v>
      </c>
      <c r="E8" s="23">
        <v>0.6</v>
      </c>
      <c r="F8" s="23">
        <v>0.6</v>
      </c>
      <c r="G8" s="23">
        <v>0.6</v>
      </c>
      <c r="H8" s="23">
        <v>0.45</v>
      </c>
      <c r="I8" s="23">
        <v>0.52</v>
      </c>
      <c r="J8" s="23">
        <v>0.43</v>
      </c>
      <c r="K8" s="23">
        <v>0.6</v>
      </c>
      <c r="L8" s="23">
        <v>0.5</v>
      </c>
      <c r="M8" s="23">
        <v>0.5</v>
      </c>
      <c r="N8" s="24">
        <v>0.550750743818611</v>
      </c>
    </row>
    <row r="9" spans="1:14">
      <c r="A9" s="14" t="s">
        <v>75</v>
      </c>
      <c r="B9" s="25">
        <v>2.05</v>
      </c>
      <c r="C9" s="25">
        <v>6.1723</v>
      </c>
      <c r="D9" s="25">
        <v>2.2909</v>
      </c>
      <c r="E9" s="26">
        <v>2.736</v>
      </c>
      <c r="F9" s="26">
        <v>3.8304</v>
      </c>
      <c r="G9" s="26">
        <v>3.5568</v>
      </c>
      <c r="H9" s="26">
        <v>3.1806</v>
      </c>
      <c r="I9" s="26">
        <v>4.26816</v>
      </c>
      <c r="J9" s="26">
        <v>1.86276</v>
      </c>
      <c r="K9" s="26">
        <v>5.0616</v>
      </c>
      <c r="L9" s="26">
        <v>2.166</v>
      </c>
      <c r="M9" s="26">
        <v>1.938</v>
      </c>
      <c r="N9" s="27">
        <v>36.9179238596491</v>
      </c>
    </row>
    <row r="10" spans="1:14">
      <c r="A10" s="14" t="s">
        <v>17</v>
      </c>
      <c r="B10" s="22">
        <v>0.169751095675184</v>
      </c>
      <c r="C10" s="22">
        <v>0.166677409582251</v>
      </c>
      <c r="D10" s="22">
        <v>0.252971814488997</v>
      </c>
      <c r="E10" s="23">
        <v>0.248727272727273</v>
      </c>
      <c r="F10" s="23">
        <v>0.25536</v>
      </c>
      <c r="G10" s="23">
        <v>0.4446</v>
      </c>
      <c r="H10" s="23">
        <v>0.3534</v>
      </c>
      <c r="I10" s="23">
        <v>0.17784</v>
      </c>
      <c r="J10" s="23">
        <v>0.266108571428571</v>
      </c>
      <c r="K10" s="23">
        <v>0.25308</v>
      </c>
      <c r="L10" s="23">
        <v>0.309428571428571</v>
      </c>
      <c r="M10" s="23">
        <v>0.24225</v>
      </c>
      <c r="N10" s="23">
        <v>0.23957105712228</v>
      </c>
    </row>
    <row r="13" spans="1:14">
      <c r="A13" s="28" t="s">
        <v>76</v>
      </c>
      <c r="B13" s="28" t="s">
        <v>77</v>
      </c>
    </row>
    <row r="14" spans="1:14">
      <c r="A14" s="28" t="s">
        <v>54</v>
      </c>
      <c r="B14" s="29">
        <v>613</v>
      </c>
    </row>
    <row r="15" spans="1:14">
      <c r="A15" s="28" t="s">
        <v>78</v>
      </c>
      <c r="B15" s="30">
        <v>0.5</v>
      </c>
    </row>
    <row r="16" spans="1:14">
      <c r="A16" s="28" t="s">
        <v>79</v>
      </c>
      <c r="B16" s="30">
        <f>B14*B15</f>
        <v>306.5</v>
      </c>
      <c r="D16" s="31"/>
      <c r="E16" s="31"/>
      <c r="F16" s="31"/>
      <c r="G16" s="31"/>
      <c r="H16" s="31"/>
      <c r="I16" s="31"/>
      <c r="J16" s="31"/>
    </row>
    <row r="17" spans="1:2">
      <c r="A17" s="28" t="s">
        <v>75</v>
      </c>
      <c r="B17" s="32">
        <v>36.9179</v>
      </c>
    </row>
    <row r="18" spans="1:2">
      <c r="A18" s="28" t="s">
        <v>80</v>
      </c>
      <c r="B18" s="30">
        <v>55</v>
      </c>
    </row>
    <row r="19" spans="1:2">
      <c r="A19" s="28" t="s">
        <v>81</v>
      </c>
      <c r="B19" s="33">
        <f>B17*B18</f>
        <v>2030.4845</v>
      </c>
    </row>
    <row r="20" spans="1:2">
      <c r="A20" s="28" t="s">
        <v>82</v>
      </c>
      <c r="B20" s="30">
        <v>294</v>
      </c>
    </row>
    <row r="21" spans="1:2">
      <c r="A21" s="28" t="s">
        <v>83</v>
      </c>
      <c r="B21" s="33">
        <f>B19-B20</f>
        <v>1736.4845</v>
      </c>
    </row>
  </sheetData>
  <sheetProtection formatCells="0" formatColumns="0" formatRows="0" insertRows="0" insertColumns="0" insertHyperlinks="0" deleteColumns="0" deleteRows="0" sort="0" autoFilter="0" pivotTables="0"/>
  <mergeCells count="2">
    <mergeCell ref="A1:N1"/>
    <mergeCell ref="A2:N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8"/>
  <sheetViews>
    <sheetView zoomScale="111" zoomScaleNormal="111" workbookViewId="0">
      <selection activeCell="H18" sqref="H18"/>
    </sheetView>
  </sheetViews>
  <sheetFormatPr defaultColWidth="9" defaultRowHeight="14" outlineLevelRow="7"/>
  <cols>
    <col min="1" max="1" width="11.7545454545455" customWidth="1"/>
    <col min="2" max="2" width="26.5" customWidth="1"/>
  </cols>
  <sheetData>
    <row r="1" ht="26" customHeight="1" spans="1:24">
      <c r="A1" s="1" t="s">
        <v>84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</row>
    <row r="2" ht="26" customHeight="1" spans="1:24">
      <c r="A2" s="1" t="s">
        <v>85</v>
      </c>
      <c r="B2" s="1" t="s">
        <v>86</v>
      </c>
      <c r="C2" s="3">
        <v>0.416666666666667</v>
      </c>
      <c r="D2" s="3">
        <v>0.4375</v>
      </c>
      <c r="E2" s="3">
        <v>0.458333333333333</v>
      </c>
      <c r="F2" s="3">
        <v>0.479166666666667</v>
      </c>
      <c r="G2" s="3">
        <v>0.5</v>
      </c>
      <c r="H2" s="3">
        <v>0.520833333333333</v>
      </c>
      <c r="I2" s="3">
        <v>0.541666666666667</v>
      </c>
      <c r="J2" s="3">
        <v>0.5625</v>
      </c>
      <c r="K2" s="3">
        <v>0.583333333333333</v>
      </c>
      <c r="L2" s="3">
        <v>0.604166666666667</v>
      </c>
      <c r="M2" s="3">
        <v>0.625</v>
      </c>
      <c r="N2" s="3">
        <v>0.645833333333333</v>
      </c>
      <c r="O2" s="3">
        <v>0.666666666666667</v>
      </c>
      <c r="P2" s="3">
        <v>0.6875</v>
      </c>
      <c r="Q2" s="3">
        <v>0.708333333333333</v>
      </c>
      <c r="R2" s="3">
        <v>0.729166666666667</v>
      </c>
      <c r="S2" s="3">
        <v>0.75</v>
      </c>
      <c r="T2" s="3">
        <v>0.770833333333333</v>
      </c>
      <c r="U2" s="3">
        <v>0.791666666666667</v>
      </c>
      <c r="V2" s="3">
        <v>0.8125</v>
      </c>
      <c r="W2" s="3">
        <v>0.833333333333333</v>
      </c>
      <c r="X2" s="2"/>
    </row>
    <row r="3" ht="26" customHeight="1" spans="1:24">
      <c r="A3" s="4" t="s">
        <v>87</v>
      </c>
      <c r="B3" s="4" t="s">
        <v>88</v>
      </c>
      <c r="C3" s="4"/>
      <c r="D3" s="4"/>
      <c r="E3" s="4"/>
      <c r="F3" s="4"/>
      <c r="G3" s="4"/>
      <c r="H3" s="4"/>
      <c r="I3" s="4"/>
      <c r="J3" s="4"/>
      <c r="K3" s="4"/>
      <c r="L3" s="4"/>
      <c r="M3" s="5"/>
      <c r="N3" s="6" t="s">
        <v>89</v>
      </c>
      <c r="O3" s="6"/>
      <c r="P3" s="6"/>
      <c r="Q3" s="4"/>
      <c r="R3" s="4"/>
      <c r="S3" s="4"/>
      <c r="T3" s="4"/>
      <c r="U3" s="4"/>
      <c r="V3" s="4"/>
      <c r="W3" s="4"/>
      <c r="X3" s="2"/>
    </row>
    <row r="4" ht="26" customHeight="1" spans="1:24">
      <c r="A4" s="4" t="s">
        <v>90</v>
      </c>
      <c r="B4" s="4" t="s">
        <v>88</v>
      </c>
      <c r="C4" s="4"/>
      <c r="D4" s="4"/>
      <c r="E4" s="4"/>
      <c r="F4" s="4"/>
      <c r="G4" s="4"/>
      <c r="H4" s="4"/>
      <c r="I4" s="4"/>
      <c r="J4" s="6" t="s">
        <v>91</v>
      </c>
      <c r="K4" s="6"/>
      <c r="L4" s="6"/>
      <c r="M4" s="5"/>
      <c r="N4" s="5"/>
      <c r="O4" s="5"/>
      <c r="P4" s="5"/>
      <c r="Q4" s="6" t="s">
        <v>92</v>
      </c>
      <c r="R4" s="6"/>
      <c r="S4" s="6"/>
      <c r="T4" s="4"/>
      <c r="U4" s="4"/>
      <c r="V4" s="4"/>
      <c r="W4" s="4"/>
      <c r="X4" s="7" t="s">
        <v>93</v>
      </c>
    </row>
    <row r="5" ht="26" customHeight="1" spans="1:24">
      <c r="A5" s="4" t="s">
        <v>94</v>
      </c>
      <c r="B5" s="4" t="s">
        <v>95</v>
      </c>
      <c r="C5" s="4"/>
      <c r="D5" s="4"/>
      <c r="E5" s="4"/>
      <c r="F5" s="4"/>
      <c r="G5" s="4"/>
      <c r="H5" s="4"/>
      <c r="I5" s="4"/>
      <c r="J5" s="4"/>
      <c r="K5" s="6" t="s">
        <v>96</v>
      </c>
      <c r="L5" s="6"/>
      <c r="M5" s="6"/>
      <c r="N5" s="5"/>
      <c r="O5" s="5"/>
      <c r="P5" s="6" t="s">
        <v>97</v>
      </c>
      <c r="Q5" s="6"/>
      <c r="R5" s="6"/>
      <c r="S5" s="4"/>
      <c r="T5" s="6" t="s">
        <v>98</v>
      </c>
      <c r="U5" s="6"/>
      <c r="V5" s="6"/>
      <c r="W5" s="4"/>
      <c r="X5" s="2"/>
    </row>
    <row r="6" ht="26" customHeight="1" spans="1:24">
      <c r="A6" s="4" t="s">
        <v>99</v>
      </c>
      <c r="B6" s="4" t="s">
        <v>95</v>
      </c>
      <c r="C6" s="4"/>
      <c r="D6" s="4"/>
      <c r="E6" s="4"/>
      <c r="F6" s="4"/>
      <c r="G6" s="6" t="s">
        <v>100</v>
      </c>
      <c r="H6" s="6"/>
      <c r="I6" s="6"/>
      <c r="J6" s="4"/>
      <c r="K6" s="6" t="s">
        <v>96</v>
      </c>
      <c r="L6" s="6"/>
      <c r="M6" s="6"/>
      <c r="N6" s="4"/>
      <c r="O6" s="4"/>
      <c r="P6" s="6" t="s">
        <v>97</v>
      </c>
      <c r="Q6" s="6"/>
      <c r="R6" s="6"/>
      <c r="S6" s="4"/>
      <c r="T6" s="6" t="s">
        <v>98</v>
      </c>
      <c r="U6" s="6"/>
      <c r="V6" s="6"/>
      <c r="W6" s="4"/>
      <c r="X6" s="2"/>
    </row>
    <row r="7" ht="26" customHeight="1" spans="1:24">
      <c r="A7" s="4" t="s">
        <v>101</v>
      </c>
      <c r="B7" s="8" t="s">
        <v>102</v>
      </c>
      <c r="C7" s="4"/>
      <c r="D7" s="4"/>
      <c r="E7" s="4"/>
      <c r="F7" s="6" t="s">
        <v>103</v>
      </c>
      <c r="G7" s="6"/>
      <c r="H7" s="6"/>
      <c r="I7" s="4"/>
      <c r="J7" s="6" t="s">
        <v>91</v>
      </c>
      <c r="K7" s="6"/>
      <c r="L7" s="6"/>
      <c r="M7" s="4"/>
      <c r="N7" s="6" t="s">
        <v>89</v>
      </c>
      <c r="O7" s="6"/>
      <c r="P7" s="6"/>
      <c r="Q7" s="4"/>
      <c r="R7" s="6" t="s">
        <v>92</v>
      </c>
      <c r="S7" s="6"/>
      <c r="T7" s="6"/>
      <c r="U7" s="6" t="s">
        <v>104</v>
      </c>
      <c r="V7" s="6"/>
      <c r="W7" s="6"/>
      <c r="X7" s="2"/>
    </row>
    <row r="8" ht="26" customHeight="1" spans="1:24">
      <c r="A8" s="4" t="s">
        <v>105</v>
      </c>
      <c r="B8" s="4" t="s">
        <v>106</v>
      </c>
      <c r="C8" s="6" t="s">
        <v>107</v>
      </c>
      <c r="D8" s="6"/>
      <c r="E8" s="6"/>
      <c r="F8" s="5"/>
      <c r="G8" s="6" t="s">
        <v>108</v>
      </c>
      <c r="H8" s="6"/>
      <c r="I8" s="6"/>
      <c r="J8" s="6" t="s">
        <v>91</v>
      </c>
      <c r="K8" s="6"/>
      <c r="L8" s="6"/>
      <c r="M8" s="5"/>
      <c r="N8" s="6" t="s">
        <v>89</v>
      </c>
      <c r="O8" s="6"/>
      <c r="P8" s="6"/>
      <c r="Q8" s="5"/>
      <c r="R8" s="6" t="s">
        <v>92</v>
      </c>
      <c r="S8" s="6"/>
      <c r="T8" s="6"/>
      <c r="U8" s="6" t="s">
        <v>104</v>
      </c>
      <c r="V8" s="6"/>
      <c r="W8" s="6"/>
      <c r="X8" s="2"/>
    </row>
  </sheetData>
  <sheetProtection formatCells="0" formatColumns="0" formatRows="0" insertRows="0" insertColumns="0" insertHyperlinks="0" deleteColumns="0" deleteRows="0" sort="0" autoFilter="0" pivotTables="0"/>
  <mergeCells count="22">
    <mergeCell ref="A1:W1"/>
    <mergeCell ref="N3:P3"/>
    <mergeCell ref="J4:L4"/>
    <mergeCell ref="Q4:S4"/>
    <mergeCell ref="K5:M5"/>
    <mergeCell ref="P5:R5"/>
    <mergeCell ref="T5:V5"/>
    <mergeCell ref="G6:I6"/>
    <mergeCell ref="K6:M6"/>
    <mergeCell ref="P6:R6"/>
    <mergeCell ref="T6:V6"/>
    <mergeCell ref="F7:H7"/>
    <mergeCell ref="J7:L7"/>
    <mergeCell ref="N7:P7"/>
    <mergeCell ref="R7:T7"/>
    <mergeCell ref="U7:W7"/>
    <mergeCell ref="C8:E8"/>
    <mergeCell ref="G8:I8"/>
    <mergeCell ref="J8:L8"/>
    <mergeCell ref="N8:P8"/>
    <mergeCell ref="R8:T8"/>
    <mergeCell ref="U8:W8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WWO_wpscloud_20260409124150-2e61b06350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基础信息年度</vt:lpstr>
      <vt:lpstr>基础信息1-3月</vt:lpstr>
      <vt:lpstr>平日 大假数据</vt:lpstr>
      <vt:lpstr>模拟纯德化街收入</vt:lpstr>
      <vt:lpstr>2025年激励数据</vt:lpstr>
      <vt:lpstr>指标制定及拆分</vt:lpstr>
      <vt:lpstr>排期模型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靳先生</cp:lastModifiedBy>
  <dcterms:created xsi:type="dcterms:W3CDTF">2018-06-06T00:28:00Z</dcterms:created>
  <dcterms:modified xsi:type="dcterms:W3CDTF">2026-04-25T02:27:16Z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CalculationRule">
    <vt:i4>0</vt:i4>
  </property>
  <property fmtid="{D5CDD505-2E9C-101B-9397-08002B2CF9AE}" pid="4" name="ICV">
    <vt:lpwstr>95DAB9BE3DD944289CA1ADC0936A0B34_13</vt:lpwstr>
  </property>
</Properties>
</file>